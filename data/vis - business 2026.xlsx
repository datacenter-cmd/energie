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e 2026" sheetId="1" r:id="rId5"/>
    <sheet state="visible" name="pivot aprile 2026" sheetId="2" r:id="rId6"/>
    <sheet state="visible" name="marzo 2026" sheetId="3" r:id="rId7"/>
    <sheet state="visible" name="pivot marzo 2026" sheetId="4" r:id="rId8"/>
    <sheet state="visible" name="febbraio 2026" sheetId="5" r:id="rId9"/>
    <sheet state="visible" name="pivot febbraio 2026" sheetId="6" r:id="rId10"/>
    <sheet state="visible" name="gennaio 2026" sheetId="7" r:id="rId11"/>
    <sheet state="visible" name="pivot gennaio 2026" sheetId="8" r:id="rId12"/>
  </sheets>
  <definedNames>
    <definedName hidden="1" localSheetId="2" name="_xlnm._FilterDatabase">'marzo 2026'!$A$1:$Z$1000</definedName>
  </definedNames>
  <calcPr/>
  <pivotCaches>
    <pivotCache cacheId="0" r:id="rId13"/>
    <pivotCache cacheId="1" r:id="rId14"/>
    <pivotCache cacheId="2" r:id="rId15"/>
    <pivotCache cacheId="3" r:id="rId16"/>
  </pivotCaches>
</workbook>
</file>

<file path=xl/sharedStrings.xml><?xml version="1.0" encoding="utf-8"?>
<sst xmlns="http://schemas.openxmlformats.org/spreadsheetml/2006/main" count="4524" uniqueCount="1427">
  <si>
    <t>negozio</t>
  </si>
  <si>
    <t>operatore</t>
  </si>
  <si>
    <t>id pratica</t>
  </si>
  <si>
    <t>partita iva</t>
  </si>
  <si>
    <t>ragione sociale</t>
  </si>
  <si>
    <t>seriale sim</t>
  </si>
  <si>
    <t>piano tariffario inserito</t>
  </si>
  <si>
    <t>inserito</t>
  </si>
  <si>
    <t>attivato</t>
  </si>
  <si>
    <t>pagabile ad aprile</t>
  </si>
  <si>
    <t>note</t>
  </si>
  <si>
    <t>pt inserito</t>
  </si>
  <si>
    <t>pt attivato</t>
  </si>
  <si>
    <t>mw empoli</t>
  </si>
  <si>
    <t>Mariami Iashvili</t>
  </si>
  <si>
    <t>100081029</t>
  </si>
  <si>
    <t>04200860486</t>
  </si>
  <si>
    <t>arpa di usignoli gianluca</t>
  </si>
  <si>
    <t>8939104480049370802</t>
  </si>
  <si>
    <t>fissa comfort</t>
  </si>
  <si>
    <t>sì</t>
  </si>
  <si>
    <t>inserito mese precedente</t>
  </si>
  <si>
    <t>06326230486</t>
  </si>
  <si>
    <t>gisapel</t>
  </si>
  <si>
    <t>8939104480046458576</t>
  </si>
  <si>
    <t>mobile smart</t>
  </si>
  <si>
    <t xml:space="preserve">mw figline </t>
  </si>
  <si>
    <t>Serenella Nacci</t>
  </si>
  <si>
    <t>100084649</t>
  </si>
  <si>
    <t>07444510486</t>
  </si>
  <si>
    <t>kalma hair stylist</t>
  </si>
  <si>
    <t>8939104480046427670</t>
  </si>
  <si>
    <t>fissa fwa5g</t>
  </si>
  <si>
    <t>100082747</t>
  </si>
  <si>
    <t>02131540474</t>
  </si>
  <si>
    <t>juniores padel academy</t>
  </si>
  <si>
    <t>8939104480049371131</t>
  </si>
  <si>
    <t xml:space="preserve">mobile comfort </t>
  </si>
  <si>
    <t>euronics grosseto</t>
  </si>
  <si>
    <t>Adelina Meta</t>
  </si>
  <si>
    <t>100084417</t>
  </si>
  <si>
    <t>01461320531</t>
  </si>
  <si>
    <t>jockey snc</t>
  </si>
  <si>
    <t>8939104480042976357</t>
  </si>
  <si>
    <t>fissa smart</t>
  </si>
  <si>
    <t>mw roma (porta di)</t>
  </si>
  <si>
    <t>Simona Cucu</t>
  </si>
  <si>
    <t>97670420153</t>
  </si>
  <si>
    <t>deutscher akademischer</t>
  </si>
  <si>
    <t>8939104480023960255</t>
  </si>
  <si>
    <t>100078519</t>
  </si>
  <si>
    <t>05563851004</t>
  </si>
  <si>
    <t>flaminia centro gomme</t>
  </si>
  <si>
    <t>iphone 17 pro</t>
  </si>
  <si>
    <t>easy rent</t>
  </si>
  <si>
    <t>comet pontedera</t>
  </si>
  <si>
    <t>Giovanni Giglio</t>
  </si>
  <si>
    <t>100082407</t>
  </si>
  <si>
    <t>02437450501</t>
  </si>
  <si>
    <t>s.a. impianti</t>
  </si>
  <si>
    <t>iphone 17</t>
  </si>
  <si>
    <t>Francesco Butelli</t>
  </si>
  <si>
    <t>100081925</t>
  </si>
  <si>
    <t>01732790538</t>
  </si>
  <si>
    <t>hosteria da cinzia</t>
  </si>
  <si>
    <t>8939104480042976209</t>
  </si>
  <si>
    <t>mobile ob</t>
  </si>
  <si>
    <t>8939104480042976191</t>
  </si>
  <si>
    <t>fissa ob</t>
  </si>
  <si>
    <t>100081761</t>
  </si>
  <si>
    <t>8939104480042976183</t>
  </si>
  <si>
    <t>100083013</t>
  </si>
  <si>
    <t>07286710483</t>
  </si>
  <si>
    <t>paolucci benedetta</t>
  </si>
  <si>
    <t>8939104480042976068</t>
  </si>
  <si>
    <t>mw gigli</t>
  </si>
  <si>
    <t>Gloria La Giusa</t>
  </si>
  <si>
    <t>100082965</t>
  </si>
  <si>
    <t>02005640475</t>
  </si>
  <si>
    <t>giulia buongiovanni</t>
  </si>
  <si>
    <t>8939104570029334917</t>
  </si>
  <si>
    <t>8939104570029334925</t>
  </si>
  <si>
    <t>100077765</t>
  </si>
  <si>
    <t>06802960481</t>
  </si>
  <si>
    <t>impresa edile gavilli</t>
  </si>
  <si>
    <t>iphone 16e</t>
  </si>
  <si>
    <t>mw pisa</t>
  </si>
  <si>
    <t>Samuele Guido</t>
  </si>
  <si>
    <t>100058669</t>
  </si>
  <si>
    <t>01472870524</t>
  </si>
  <si>
    <t>dottor canapa</t>
  </si>
  <si>
    <t>iphone 17 promax</t>
  </si>
  <si>
    <t>100083047</t>
  </si>
  <si>
    <t>07206490489</t>
  </si>
  <si>
    <t xml:space="preserve">podere cavriglia </t>
  </si>
  <si>
    <t>8939104480049226889</t>
  </si>
  <si>
    <t>Carmen Davila</t>
  </si>
  <si>
    <t>100084443</t>
  </si>
  <si>
    <t>01592310112</t>
  </si>
  <si>
    <t>islam shaidul</t>
  </si>
  <si>
    <t>8939104480049498918</t>
  </si>
  <si>
    <t>8939104480049498553</t>
  </si>
  <si>
    <t>100084029</t>
  </si>
  <si>
    <t>07523300486</t>
  </si>
  <si>
    <t>formaggi d'autore</t>
  </si>
  <si>
    <t>8939104480049370844</t>
  </si>
  <si>
    <t>8939104480049371727</t>
  </si>
  <si>
    <t>194563216</t>
  </si>
  <si>
    <t>11896871008</t>
  </si>
  <si>
    <t>texad</t>
  </si>
  <si>
    <t>8939104520046381367</t>
  </si>
  <si>
    <t>8939104520046379718</t>
  </si>
  <si>
    <t>100085477</t>
  </si>
  <si>
    <t>01585950536</t>
  </si>
  <si>
    <t>mazzuoli infissi</t>
  </si>
  <si>
    <t>8939104480042976050</t>
  </si>
  <si>
    <t>mw agliana</t>
  </si>
  <si>
    <t>Aissam El Moujaid</t>
  </si>
  <si>
    <t>194564958</t>
  </si>
  <si>
    <t>02055290478</t>
  </si>
  <si>
    <t>akipost srls</t>
  </si>
  <si>
    <t>8939104480047381660</t>
  </si>
  <si>
    <t>100086861</t>
  </si>
  <si>
    <t>02311710509</t>
  </si>
  <si>
    <t>eurotruck &amp; trailer</t>
  </si>
  <si>
    <t>8939104480042977090</t>
  </si>
  <si>
    <t>8939104610004234318</t>
  </si>
  <si>
    <t>euronics montecatini</t>
  </si>
  <si>
    <t>Matteo Stefanelli</t>
  </si>
  <si>
    <t>100085779</t>
  </si>
  <si>
    <t>01241030327</t>
  </si>
  <si>
    <t>pangos mattia</t>
  </si>
  <si>
    <t>8939104480042978486</t>
  </si>
  <si>
    <t>100087001</t>
  </si>
  <si>
    <t>04068070483</t>
  </si>
  <si>
    <t>studio associato politi</t>
  </si>
  <si>
    <t>8939104480049370901</t>
  </si>
  <si>
    <t>8939104480049371735</t>
  </si>
  <si>
    <t>100091327</t>
  </si>
  <si>
    <t>02216660502</t>
  </si>
  <si>
    <t>la pizza magica</t>
  </si>
  <si>
    <t>8939104480049302839</t>
  </si>
  <si>
    <t>David John Gallo</t>
  </si>
  <si>
    <t>100091585</t>
  </si>
  <si>
    <t>05851340488</t>
  </si>
  <si>
    <t>system pack di braccini alessa</t>
  </si>
  <si>
    <t>8939104480046458477</t>
  </si>
  <si>
    <t>100091525</t>
  </si>
  <si>
    <t>01343980536</t>
  </si>
  <si>
    <t>bicocca caminetti</t>
  </si>
  <si>
    <t>8939104480042976258</t>
  </si>
  <si>
    <t>8939104480042976241</t>
  </si>
  <si>
    <t>100089767</t>
  </si>
  <si>
    <t>02555100979</t>
  </si>
  <si>
    <t>marco leggieri</t>
  </si>
  <si>
    <t>8939104480047389721</t>
  </si>
  <si>
    <t>100088065</t>
  </si>
  <si>
    <t>02073010502</t>
  </si>
  <si>
    <t>carrozzeria polo srl</t>
  </si>
  <si>
    <t>8939104570029457791</t>
  </si>
  <si>
    <t>8939104570029457825</t>
  </si>
  <si>
    <t>100093283</t>
  </si>
  <si>
    <t>100092723</t>
  </si>
  <si>
    <t>01661630507</t>
  </si>
  <si>
    <t>intergomma</t>
  </si>
  <si>
    <t>8939104480023420763</t>
  </si>
  <si>
    <t>100092859</t>
  </si>
  <si>
    <t>03381580483</t>
  </si>
  <si>
    <t>elmi la gelateria</t>
  </si>
  <si>
    <t>8939104480046427696</t>
  </si>
  <si>
    <t>100093477</t>
  </si>
  <si>
    <t>8939104480046425583</t>
  </si>
  <si>
    <t>8939104480046427852</t>
  </si>
  <si>
    <t>100097543</t>
  </si>
  <si>
    <t>05905630488</t>
  </si>
  <si>
    <t>grotta</t>
  </si>
  <si>
    <t>8939104570029335047</t>
  </si>
  <si>
    <t>8939104570029335054</t>
  </si>
  <si>
    <t>100098205</t>
  </si>
  <si>
    <t>06823520488</t>
  </si>
  <si>
    <t>maria gavrilova</t>
  </si>
  <si>
    <t>8939104480049370935</t>
  </si>
  <si>
    <t>100094275</t>
  </si>
  <si>
    <t>01941070482</t>
  </si>
  <si>
    <t>arci empolese valdelsa</t>
  </si>
  <si>
    <t>8939104480049371032</t>
  </si>
  <si>
    <t>8939104480049371651</t>
  </si>
  <si>
    <t>100093911</t>
  </si>
  <si>
    <t>01774410532</t>
  </si>
  <si>
    <t>turku ilir</t>
  </si>
  <si>
    <t>8939104480047470240</t>
  </si>
  <si>
    <t>100096307</t>
  </si>
  <si>
    <t>02198720977</t>
  </si>
  <si>
    <t>decofibre</t>
  </si>
  <si>
    <t>8939104480047389184</t>
  </si>
  <si>
    <t>mw collestrada</t>
  </si>
  <si>
    <t>100093793</t>
  </si>
  <si>
    <t>01535970550</t>
  </si>
  <si>
    <t>pitwo solutions</t>
  </si>
  <si>
    <t>8939104520046117191</t>
  </si>
  <si>
    <t>8939104520046116771</t>
  </si>
  <si>
    <t>euronics parco prato</t>
  </si>
  <si>
    <t>Fabian Sulmina</t>
  </si>
  <si>
    <t>100096973</t>
  </si>
  <si>
    <t>02637750973</t>
  </si>
  <si>
    <t>radio mastrella</t>
  </si>
  <si>
    <t>8939104480042977272</t>
  </si>
  <si>
    <t>euronics corciano</t>
  </si>
  <si>
    <t>Feris Rahmouni</t>
  </si>
  <si>
    <t>100102117</t>
  </si>
  <si>
    <t>03614150542</t>
  </si>
  <si>
    <t>piccole orme</t>
  </si>
  <si>
    <t>8939104610004234359</t>
  </si>
  <si>
    <t>8939104480042979617</t>
  </si>
  <si>
    <t>100096463</t>
  </si>
  <si>
    <t>04774980165</t>
  </si>
  <si>
    <t>aabid hassan</t>
  </si>
  <si>
    <t>8939104480042976365</t>
  </si>
  <si>
    <t>194578658</t>
  </si>
  <si>
    <t>07476620484</t>
  </si>
  <si>
    <t>andrea giani</t>
  </si>
  <si>
    <t>8939104480049371172</t>
  </si>
  <si>
    <t>100099183</t>
  </si>
  <si>
    <t>01775530536</t>
  </si>
  <si>
    <t>ama giardini srl</t>
  </si>
  <si>
    <t>8939104480042977496</t>
  </si>
  <si>
    <t>8939104480042977504</t>
  </si>
  <si>
    <t xml:space="preserve">	ama giardini srl</t>
  </si>
  <si>
    <t>8939104480042977512</t>
  </si>
  <si>
    <t>100098399</t>
  </si>
  <si>
    <t>02510460971</t>
  </si>
  <si>
    <t>lionmart</t>
  </si>
  <si>
    <t>8939104480047390216</t>
  </si>
  <si>
    <t>100097485</t>
  </si>
  <si>
    <t>01193810536</t>
  </si>
  <si>
    <t>michele detti</t>
  </si>
  <si>
    <t>8939104480042977702</t>
  </si>
  <si>
    <t>8939104480042976233</t>
  </si>
  <si>
    <t>mw novoli</t>
  </si>
  <si>
    <t>100099611</t>
  </si>
  <si>
    <t>06450120587</t>
  </si>
  <si>
    <t>takahasmi mieko</t>
  </si>
  <si>
    <t>8939104520049044673</t>
  </si>
  <si>
    <t>8939104520049044525</t>
  </si>
  <si>
    <t>100099713</t>
  </si>
  <si>
    <t>07535090489</t>
  </si>
  <si>
    <t>simple shop di zhang xiaohua</t>
  </si>
  <si>
    <t>8939104480049370869</t>
  </si>
  <si>
    <t>100099571</t>
  </si>
  <si>
    <t>01692320979</t>
  </si>
  <si>
    <t>orlandi marco</t>
  </si>
  <si>
    <t>8939104480042977041</t>
  </si>
  <si>
    <t>8939104480042977017</t>
  </si>
  <si>
    <t>100099649</t>
  </si>
  <si>
    <t>100100649</t>
  </si>
  <si>
    <t>01878350766</t>
  </si>
  <si>
    <t>al solito posto</t>
  </si>
  <si>
    <t>8939104480049305881</t>
  </si>
  <si>
    <t>100101679</t>
  </si>
  <si>
    <t>02517910507</t>
  </si>
  <si>
    <t>rent tuscany srl</t>
  </si>
  <si>
    <t>8939104480049302847</t>
  </si>
  <si>
    <t>100101353</t>
  </si>
  <si>
    <t>04703720484</t>
  </si>
  <si>
    <t>maurizio ciacci</t>
  </si>
  <si>
    <t>8939104520049044483</t>
  </si>
  <si>
    <t>8939104520049044186</t>
  </si>
  <si>
    <t>8939104520049044871</t>
  </si>
  <si>
    <t>8939104520049044632</t>
  </si>
  <si>
    <t>8939104520049044343</t>
  </si>
  <si>
    <t>8939104520049043915</t>
  </si>
  <si>
    <t>100102105</t>
  </si>
  <si>
    <t>07036190481</t>
  </si>
  <si>
    <t>zenelaj elvis</t>
  </si>
  <si>
    <t>893910452004944178</t>
  </si>
  <si>
    <t>8939104520049044533</t>
  </si>
  <si>
    <t>100101811</t>
  </si>
  <si>
    <t>07305750486</t>
  </si>
  <si>
    <t>attack service</t>
  </si>
  <si>
    <t>8939104480046428058</t>
  </si>
  <si>
    <t>100102859</t>
  </si>
  <si>
    <t>02573680978</t>
  </si>
  <si>
    <t>moda gio di dichiara giovanna</t>
  </si>
  <si>
    <t>8939104520044886458</t>
  </si>
  <si>
    <t>8939104570029334909</t>
  </si>
  <si>
    <t>100102587</t>
  </si>
  <si>
    <t>01707520530</t>
  </si>
  <si>
    <t>corridori roberto</t>
  </si>
  <si>
    <t>8939104480042977520</t>
  </si>
  <si>
    <t>8939104480042977538</t>
  </si>
  <si>
    <t>8939104480042977728</t>
  </si>
  <si>
    <t>8939104480042977546</t>
  </si>
  <si>
    <t>proiezione lineare</t>
  </si>
  <si>
    <t>giorni lavorativi</t>
  </si>
  <si>
    <t xml:space="preserve">fissa </t>
  </si>
  <si>
    <t>giorni lavorati</t>
  </si>
  <si>
    <t>mobile</t>
  </si>
  <si>
    <t>COUNTA di piano tariffario inserito</t>
  </si>
  <si>
    <t>COUNTA di attivato</t>
  </si>
  <si>
    <t>Totale generale</t>
  </si>
  <si>
    <t>COUNTA di pt inserito</t>
  </si>
  <si>
    <t>easy r</t>
  </si>
  <si>
    <t>Totale comet pontedera</t>
  </si>
  <si>
    <t>Totale euronics corciano</t>
  </si>
  <si>
    <t>Totale euronics grosseto</t>
  </si>
  <si>
    <t>Totale euronics montecatini</t>
  </si>
  <si>
    <t>Totale euronics parco prato</t>
  </si>
  <si>
    <t>Totale mw agliana</t>
  </si>
  <si>
    <t>Totale mw collestrada</t>
  </si>
  <si>
    <t>Totale mw empoli</t>
  </si>
  <si>
    <t xml:space="preserve">Totale mw figline </t>
  </si>
  <si>
    <t>Totale mw gigli</t>
  </si>
  <si>
    <t>Totale mw novoli</t>
  </si>
  <si>
    <t>Totale mw pisa</t>
  </si>
  <si>
    <t>Totale mw roma (porta di)</t>
  </si>
  <si>
    <t>pagabile a marzo</t>
  </si>
  <si>
    <t>100045259</t>
  </si>
  <si>
    <t>06443660482</t>
  </si>
  <si>
    <t>lo gatto</t>
  </si>
  <si>
    <t>8939104480049226178</t>
  </si>
  <si>
    <t>100046173</t>
  </si>
  <si>
    <t>01600340507</t>
  </si>
  <si>
    <t>t.s.e. di stefanini</t>
  </si>
  <si>
    <t>8939104480049498637</t>
  </si>
  <si>
    <t>8939104480049499072</t>
  </si>
  <si>
    <t>100035649</t>
  </si>
  <si>
    <t>01679550531</t>
  </si>
  <si>
    <t>agricola rrufeja srl</t>
  </si>
  <si>
    <t>galaxy s25</t>
  </si>
  <si>
    <t>100052573</t>
  </si>
  <si>
    <t>01855640510</t>
  </si>
  <si>
    <t>meditec</t>
  </si>
  <si>
    <t>8939104480049226764</t>
  </si>
  <si>
    <t>Francesco Belmonte</t>
  </si>
  <si>
    <t>100037859</t>
  </si>
  <si>
    <t>03484740547</t>
  </si>
  <si>
    <t>azienda agricola mereu</t>
  </si>
  <si>
    <t>x cover 7</t>
  </si>
  <si>
    <t>100046357</t>
  </si>
  <si>
    <t>02382600340</t>
  </si>
  <si>
    <t>abelli marianna</t>
  </si>
  <si>
    <t>8939104480049305782</t>
  </si>
  <si>
    <t>100046337</t>
  </si>
  <si>
    <t>01557330527</t>
  </si>
  <si>
    <t>g.f. costruzioni srl</t>
  </si>
  <si>
    <t>8939104570029334966</t>
  </si>
  <si>
    <t>8939104570029334974</t>
  </si>
  <si>
    <t>100046487</t>
  </si>
  <si>
    <t>02523080469</t>
  </si>
  <si>
    <t>prestige refitting</t>
  </si>
  <si>
    <t>8939104570029457643</t>
  </si>
  <si>
    <t>8939104570029457007</t>
  </si>
  <si>
    <t>8939104570029457635</t>
  </si>
  <si>
    <t>100046783</t>
  </si>
  <si>
    <t>01410790537</t>
  </si>
  <si>
    <t>il faro snc</t>
  </si>
  <si>
    <t>89391044480042977587</t>
  </si>
  <si>
    <t>100046695</t>
  </si>
  <si>
    <t>8939104480042977975</t>
  </si>
  <si>
    <t>100046551</t>
  </si>
  <si>
    <t>01697390530</t>
  </si>
  <si>
    <t>impresa edile di donato</t>
  </si>
  <si>
    <t>8939104480042977637</t>
  </si>
  <si>
    <t>8939104480042978098</t>
  </si>
  <si>
    <t>8939104480042977660</t>
  </si>
  <si>
    <t>100046681</t>
  </si>
  <si>
    <t>01312380478</t>
  </si>
  <si>
    <t>tecnoverciatura</t>
  </si>
  <si>
    <t>8939104480047381884</t>
  </si>
  <si>
    <t>100047337</t>
  </si>
  <si>
    <t>01474030507</t>
  </si>
  <si>
    <t>dimensione suono</t>
  </si>
  <si>
    <t>8939104570029457908</t>
  </si>
  <si>
    <t>galaxy a17</t>
  </si>
  <si>
    <t>100046857</t>
  </si>
  <si>
    <t>02454990504</t>
  </si>
  <si>
    <t>haj mahmoud abdul</t>
  </si>
  <si>
    <t>8939104480049305790</t>
  </si>
  <si>
    <t>8939104480049305774</t>
  </si>
  <si>
    <t>8939104480049305808</t>
  </si>
  <si>
    <t>100047325</t>
  </si>
  <si>
    <t>01875260505</t>
  </si>
  <si>
    <t>urma car di vitali guya</t>
  </si>
  <si>
    <t>8939104480049498298</t>
  </si>
  <si>
    <t>8939104480049498314</t>
  </si>
  <si>
    <t>100048161</t>
  </si>
  <si>
    <t>01614750535</t>
  </si>
  <si>
    <t>al castello</t>
  </si>
  <si>
    <t>8939104480042977751</t>
  </si>
  <si>
    <t>100048227</t>
  </si>
  <si>
    <t>8939104480042978114</t>
  </si>
  <si>
    <t>8939104480042978122</t>
  </si>
  <si>
    <t>100048457</t>
  </si>
  <si>
    <t>01980970972</t>
  </si>
  <si>
    <t>edil di furia mirco</t>
  </si>
  <si>
    <t>8939104480042976910</t>
  </si>
  <si>
    <t>100048581</t>
  </si>
  <si>
    <t>04016020549</t>
  </si>
  <si>
    <t>gjoni matteo</t>
  </si>
  <si>
    <t>8939104520028007295</t>
  </si>
  <si>
    <t>100050837</t>
  </si>
  <si>
    <t>04529070486</t>
  </si>
  <si>
    <t>francesco ballerini</t>
  </si>
  <si>
    <t>8939104480049226160</t>
  </si>
  <si>
    <t>100051773</t>
  </si>
  <si>
    <t>02264480480</t>
  </si>
  <si>
    <t>sicari domenico</t>
  </si>
  <si>
    <t>8939104480049227036</t>
  </si>
  <si>
    <t>8939104480049227044</t>
  </si>
  <si>
    <t>100050491</t>
  </si>
  <si>
    <t>01665180533</t>
  </si>
  <si>
    <t>mondo estetica</t>
  </si>
  <si>
    <t>8939104480042978106</t>
  </si>
  <si>
    <t>8939104480042977843</t>
  </si>
  <si>
    <t>194523578</t>
  </si>
  <si>
    <t>02116140472</t>
  </si>
  <si>
    <t>stefano dabizzi</t>
  </si>
  <si>
    <t>8939104480047390141</t>
  </si>
  <si>
    <t>8939104480047380746</t>
  </si>
  <si>
    <t>8939104480047382718</t>
  </si>
  <si>
    <t>8939104480047390513</t>
  </si>
  <si>
    <t>100052361</t>
  </si>
  <si>
    <t>00508260973</t>
  </si>
  <si>
    <t>obi systemzentrale</t>
  </si>
  <si>
    <t>8939104480042977066</t>
  </si>
  <si>
    <t>100053495</t>
  </si>
  <si>
    <t>01726270539</t>
  </si>
  <si>
    <t>tachi ejup</t>
  </si>
  <si>
    <t>100053669</t>
  </si>
  <si>
    <t>04876920481</t>
  </si>
  <si>
    <t>nicola paszkowski</t>
  </si>
  <si>
    <t>8939104480049227010</t>
  </si>
  <si>
    <t>100076583</t>
  </si>
  <si>
    <t>8939104480049226194</t>
  </si>
  <si>
    <t>194481544</t>
  </si>
  <si>
    <t>14655171008</t>
  </si>
  <si>
    <t>raggio di sole</t>
  </si>
  <si>
    <t>8939104480023960271</t>
  </si>
  <si>
    <t>8939104480023959653</t>
  </si>
  <si>
    <t>100052773</t>
  </si>
  <si>
    <t>17723031005</t>
  </si>
  <si>
    <t>fvm</t>
  </si>
  <si>
    <t>8939104520044903071</t>
  </si>
  <si>
    <t>Ditifet</t>
  </si>
  <si>
    <t>100079987</t>
  </si>
  <si>
    <t>02503170512</t>
  </si>
  <si>
    <t>belmonte enrico</t>
  </si>
  <si>
    <t>8939104480049302888</t>
  </si>
  <si>
    <t>100081587</t>
  </si>
  <si>
    <t>01606980538</t>
  </si>
  <si>
    <t>fralassi srl</t>
  </si>
  <si>
    <t>8939104480042976076</t>
  </si>
  <si>
    <t>8939104480042976373</t>
  </si>
  <si>
    <t>100064901</t>
  </si>
  <si>
    <t>02495410561</t>
  </si>
  <si>
    <t>agrisolari</t>
  </si>
  <si>
    <t>8939104480042977983</t>
  </si>
  <si>
    <t>8939104480042977603</t>
  </si>
  <si>
    <t>100064975</t>
  </si>
  <si>
    <t>8939104480042977629</t>
  </si>
  <si>
    <t>194527214</t>
  </si>
  <si>
    <t>01716400534</t>
  </si>
  <si>
    <t>agrial tun di altun ibrahim</t>
  </si>
  <si>
    <t>8939104480042977140</t>
  </si>
  <si>
    <t>8939104480042977132</t>
  </si>
  <si>
    <t>8939104480042977124</t>
  </si>
  <si>
    <t>8939104480042977116</t>
  </si>
  <si>
    <t>100056477</t>
  </si>
  <si>
    <t>03972250546</t>
  </si>
  <si>
    <t>nicolino rappresentanze sas</t>
  </si>
  <si>
    <t>8939104520046276740</t>
  </si>
  <si>
    <t>8939104520046276955</t>
  </si>
  <si>
    <t>8939104520046276963</t>
  </si>
  <si>
    <t>100053831</t>
  </si>
  <si>
    <t>01436750473</t>
  </si>
  <si>
    <t>santini cristiano</t>
  </si>
  <si>
    <t>8939104480042978221</t>
  </si>
  <si>
    <t>8939104480042979443</t>
  </si>
  <si>
    <t>100055099</t>
  </si>
  <si>
    <t>07073680485</t>
  </si>
  <si>
    <t>daniel onyema</t>
  </si>
  <si>
    <t>8939104480046458154</t>
  </si>
  <si>
    <t>8939104480046458584</t>
  </si>
  <si>
    <t>100055371</t>
  </si>
  <si>
    <t>02423000500</t>
  </si>
  <si>
    <t>francesco menichetti</t>
  </si>
  <si>
    <t>8939104520046116763</t>
  </si>
  <si>
    <t>100056475</t>
  </si>
  <si>
    <t>09959060964</t>
  </si>
  <si>
    <t>adr livorno di renato avallone</t>
  </si>
  <si>
    <t>100057319</t>
  </si>
  <si>
    <t>02277970501</t>
  </si>
  <si>
    <t>fratelli lumiere</t>
  </si>
  <si>
    <t>8939104480049305816</t>
  </si>
  <si>
    <t>mw roma est</t>
  </si>
  <si>
    <t>100057581</t>
  </si>
  <si>
    <t>177230331005</t>
  </si>
  <si>
    <t>8939104520044903121</t>
  </si>
  <si>
    <t>100057525</t>
  </si>
  <si>
    <t>8939104480023960362</t>
  </si>
  <si>
    <t>8939104480023959927</t>
  </si>
  <si>
    <t>8939104520044902743</t>
  </si>
  <si>
    <t>8939104520044903147</t>
  </si>
  <si>
    <t>8939104520044903477</t>
  </si>
  <si>
    <t>8939104480023960396</t>
  </si>
  <si>
    <t>100057199</t>
  </si>
  <si>
    <t>12391471005</t>
  </si>
  <si>
    <t>diaferia maria grazia</t>
  </si>
  <si>
    <t>8939104480023959497</t>
  </si>
  <si>
    <t>8939104520044903394</t>
  </si>
  <si>
    <t>100056543</t>
  </si>
  <si>
    <t>10764071006</t>
  </si>
  <si>
    <t>daniele alonzi</t>
  </si>
  <si>
    <t xml:space="preserve">z fold </t>
  </si>
  <si>
    <t>100056523</t>
  </si>
  <si>
    <t>8939104520044903410</t>
  </si>
  <si>
    <t>8939104520044902990</t>
  </si>
  <si>
    <t>8939104520044903105</t>
  </si>
  <si>
    <t>100057359</t>
  </si>
  <si>
    <t>05102200481</t>
  </si>
  <si>
    <t>hbm consulting</t>
  </si>
  <si>
    <t>8939104480049227143</t>
  </si>
  <si>
    <t>100056695</t>
  </si>
  <si>
    <t>02637270972</t>
  </si>
  <si>
    <t>natade snc</t>
  </si>
  <si>
    <t>8939104480042976928</t>
  </si>
  <si>
    <t>100025421</t>
  </si>
  <si>
    <t>01733550535</t>
  </si>
  <si>
    <t>eba shkup</t>
  </si>
  <si>
    <t>no</t>
  </si>
  <si>
    <t>100059755</t>
  </si>
  <si>
    <t>03896430968</t>
  </si>
  <si>
    <t>impresa edile uka</t>
  </si>
  <si>
    <t>8939104480042976829</t>
  </si>
  <si>
    <t>8939104480042976803</t>
  </si>
  <si>
    <t>100059171</t>
  </si>
  <si>
    <t>8939104480049226350</t>
  </si>
  <si>
    <t>fissa total wireless</t>
  </si>
  <si>
    <t>100059517</t>
  </si>
  <si>
    <t>01781850530</t>
  </si>
  <si>
    <t>agricola alita</t>
  </si>
  <si>
    <t>8939104480042976811</t>
  </si>
  <si>
    <t>100059481</t>
  </si>
  <si>
    <t>agricola rrufeja</t>
  </si>
  <si>
    <t>8939104480042976795</t>
  </si>
  <si>
    <t>100060711</t>
  </si>
  <si>
    <t>01985660495</t>
  </si>
  <si>
    <t>euroedilizia di shaini</t>
  </si>
  <si>
    <t>8939104480042976787</t>
  </si>
  <si>
    <t>8939104480042978031</t>
  </si>
  <si>
    <t>100060695</t>
  </si>
  <si>
    <t>01755380530</t>
  </si>
  <si>
    <t>fralassi federico</t>
  </si>
  <si>
    <t>8939104480042977892</t>
  </si>
  <si>
    <t>100064719</t>
  </si>
  <si>
    <t>02542830506</t>
  </si>
  <si>
    <t>k.m. design srls</t>
  </si>
  <si>
    <t>8939104570029334958</t>
  </si>
  <si>
    <t>100060283</t>
  </si>
  <si>
    <t>01942260504</t>
  </si>
  <si>
    <t>flat</t>
  </si>
  <si>
    <t>8939104480049498652</t>
  </si>
  <si>
    <t>100060321</t>
  </si>
  <si>
    <t>07117070487</t>
  </si>
  <si>
    <t>memoli davide</t>
  </si>
  <si>
    <t>8939104480049226426</t>
  </si>
  <si>
    <t>100060441</t>
  </si>
  <si>
    <t>05956220486</t>
  </si>
  <si>
    <t>edile attaouia</t>
  </si>
  <si>
    <t>8939104570029334891</t>
  </si>
  <si>
    <t>100060697</t>
  </si>
  <si>
    <t>8939104480042977967</t>
  </si>
  <si>
    <t>100060687</t>
  </si>
  <si>
    <t>8939104480042976779</t>
  </si>
  <si>
    <t>8939104480042977900</t>
  </si>
  <si>
    <t>100060659</t>
  </si>
  <si>
    <t>100060555</t>
  </si>
  <si>
    <t>8939104480049302771</t>
  </si>
  <si>
    <t>8939104480049302763</t>
  </si>
  <si>
    <t>100060557</t>
  </si>
  <si>
    <t>8939104480049302755</t>
  </si>
  <si>
    <t>8939104480049302748</t>
  </si>
  <si>
    <t>100060731</t>
  </si>
  <si>
    <t>02080120476</t>
  </si>
  <si>
    <t>renova srls</t>
  </si>
  <si>
    <t>8939104480042978460</t>
  </si>
  <si>
    <t>100062217</t>
  </si>
  <si>
    <t>02293620502</t>
  </si>
  <si>
    <t>saviozzi nantas mario lamberto</t>
  </si>
  <si>
    <t>8939104480049302821</t>
  </si>
  <si>
    <t>100063327</t>
  </si>
  <si>
    <t>01662940533</t>
  </si>
  <si>
    <t>dany beauty space</t>
  </si>
  <si>
    <t>8939104480042976597</t>
  </si>
  <si>
    <t>8939104480042976605</t>
  </si>
  <si>
    <t>100060077</t>
  </si>
  <si>
    <t>02725320465</t>
  </si>
  <si>
    <t>cobra dmc</t>
  </si>
  <si>
    <t>8939104480049305840</t>
  </si>
  <si>
    <t>mobile red xs</t>
  </si>
  <si>
    <t>100065153</t>
  </si>
  <si>
    <t>01184020533</t>
  </si>
  <si>
    <t>studio tecnico geometra</t>
  </si>
  <si>
    <t>8939104480042976621</t>
  </si>
  <si>
    <t>8939104480042976548</t>
  </si>
  <si>
    <t>100068053</t>
  </si>
  <si>
    <t>01714670542</t>
  </si>
  <si>
    <t>gesa computer</t>
  </si>
  <si>
    <t>8939104520046277052</t>
  </si>
  <si>
    <t>100066997</t>
  </si>
  <si>
    <t>02446780971</t>
  </si>
  <si>
    <t>tuscany zone di tarchiani</t>
  </si>
  <si>
    <t>8939104570029334776</t>
  </si>
  <si>
    <t>8939104570029334768</t>
  </si>
  <si>
    <t>8939104570029334792</t>
  </si>
  <si>
    <t>100068383</t>
  </si>
  <si>
    <t>8939104480042976571</t>
  </si>
  <si>
    <t>8939104480042977157</t>
  </si>
  <si>
    <t>100067443</t>
  </si>
  <si>
    <t>07221030484</t>
  </si>
  <si>
    <t>vee cakery</t>
  </si>
  <si>
    <t>8939104480046458527</t>
  </si>
  <si>
    <t>8939104480046458188</t>
  </si>
  <si>
    <t>100064999</t>
  </si>
  <si>
    <t>91055820483</t>
  </si>
  <si>
    <t>asd fiams</t>
  </si>
  <si>
    <t>8939104570030150187</t>
  </si>
  <si>
    <t>100067593</t>
  </si>
  <si>
    <t>06990620483</t>
  </si>
  <si>
    <t xml:space="preserve">vemaflorence </t>
  </si>
  <si>
    <t>8939104480046458279</t>
  </si>
  <si>
    <t>100069017</t>
  </si>
  <si>
    <t>02646360467</t>
  </si>
  <si>
    <t xml:space="preserve">to sell di senhua </t>
  </si>
  <si>
    <t>8939104480042976944</t>
  </si>
  <si>
    <t>100067989</t>
  </si>
  <si>
    <t>17856811009</t>
  </si>
  <si>
    <t>consorzio n.t.i.</t>
  </si>
  <si>
    <t>8939104570029334743</t>
  </si>
  <si>
    <t>8939104570029334750</t>
  </si>
  <si>
    <t>100067701</t>
  </si>
  <si>
    <t>8939104480049226301</t>
  </si>
  <si>
    <t>100069201</t>
  </si>
  <si>
    <t>01425140538</t>
  </si>
  <si>
    <t>plaza cafe</t>
  </si>
  <si>
    <t>8939104480042977108</t>
  </si>
  <si>
    <t>8939104480042976720</t>
  </si>
  <si>
    <t>100069065</t>
  </si>
  <si>
    <t>02536100502</t>
  </si>
  <si>
    <t>m.i. ditta</t>
  </si>
  <si>
    <t>8939104480046458436</t>
  </si>
  <si>
    <t>100069225</t>
  </si>
  <si>
    <t>01743940973</t>
  </si>
  <si>
    <t>guarnieri paolo</t>
  </si>
  <si>
    <t>8939104480042977074</t>
  </si>
  <si>
    <t>100069067</t>
  </si>
  <si>
    <t>15495891002</t>
  </si>
  <si>
    <t>antonio tasillo</t>
  </si>
  <si>
    <t>8939104480049226921</t>
  </si>
  <si>
    <t>8939104480049226913</t>
  </si>
  <si>
    <t>galaxy s26</t>
  </si>
  <si>
    <t>galaxy s26 ultra</t>
  </si>
  <si>
    <t>100070095</t>
  </si>
  <si>
    <t>02559660507</t>
  </si>
  <si>
    <t>società agricola pacini</t>
  </si>
  <si>
    <t>8939104570029457510</t>
  </si>
  <si>
    <t>8939104480023421324</t>
  </si>
  <si>
    <t>8939104570029457866</t>
  </si>
  <si>
    <t>8939104480023421175</t>
  </si>
  <si>
    <t>8939104570029457536</t>
  </si>
  <si>
    <t>100069815</t>
  </si>
  <si>
    <t>01350720528</t>
  </si>
  <si>
    <t>b&amp;g</t>
  </si>
  <si>
    <t>8939104480042976712</t>
  </si>
  <si>
    <t>100078655</t>
  </si>
  <si>
    <t>02092740477</t>
  </si>
  <si>
    <t>pronto service</t>
  </si>
  <si>
    <t>8939104480042978395</t>
  </si>
  <si>
    <t>8939104480042978312</t>
  </si>
  <si>
    <t>8939104480042978411</t>
  </si>
  <si>
    <t>100072333</t>
  </si>
  <si>
    <t>inter gomma</t>
  </si>
  <si>
    <t>8939104480023420714</t>
  </si>
  <si>
    <t>100070479</t>
  </si>
  <si>
    <t>16816721001</t>
  </si>
  <si>
    <t>fc martorello srls</t>
  </si>
  <si>
    <t>8939104610004249670</t>
  </si>
  <si>
    <t>8939104520046380047</t>
  </si>
  <si>
    <t>100070427</t>
  </si>
  <si>
    <t>8939104520046380013</t>
  </si>
  <si>
    <t>100073427</t>
  </si>
  <si>
    <t>02126300470</t>
  </si>
  <si>
    <t>tondi termoidraulica</t>
  </si>
  <si>
    <t>8939104480047381520</t>
  </si>
  <si>
    <t>8939104480047382650</t>
  </si>
  <si>
    <t>100073429</t>
  </si>
  <si>
    <t>00939310967</t>
  </si>
  <si>
    <t>progetto verde</t>
  </si>
  <si>
    <t>8939104480042977199</t>
  </si>
  <si>
    <t>8939104480042977231</t>
  </si>
  <si>
    <t>8939104480042976654</t>
  </si>
  <si>
    <t>8939104480042976688</t>
  </si>
  <si>
    <t>8939104480042977181</t>
  </si>
  <si>
    <t>100073697</t>
  </si>
  <si>
    <t>02545920502</t>
  </si>
  <si>
    <t>giovanni giglio</t>
  </si>
  <si>
    <t>8939104570029457874</t>
  </si>
  <si>
    <t>100076061</t>
  </si>
  <si>
    <t>01557500525</t>
  </si>
  <si>
    <t>de ryck iris sarah</t>
  </si>
  <si>
    <t>8939104480049305931</t>
  </si>
  <si>
    <t>100075021</t>
  </si>
  <si>
    <t>02407870977</t>
  </si>
  <si>
    <t>pe lab</t>
  </si>
  <si>
    <t>8939104480042978130</t>
  </si>
  <si>
    <t>100075015</t>
  </si>
  <si>
    <t>92097620519</t>
  </si>
  <si>
    <t>associazione detto fatto</t>
  </si>
  <si>
    <t>8939104480049306210</t>
  </si>
  <si>
    <t>100073589</t>
  </si>
  <si>
    <t>8939104480042977256</t>
  </si>
  <si>
    <t>8939104480042976696</t>
  </si>
  <si>
    <t>8939104480042976662</t>
  </si>
  <si>
    <t>8939104480042977173</t>
  </si>
  <si>
    <t>8939104480042976860</t>
  </si>
  <si>
    <t>8939104480042976878</t>
  </si>
  <si>
    <t>30/03 business si file si esito</t>
  </si>
  <si>
    <t>8939104480042976746</t>
  </si>
  <si>
    <t>8939104480042977207</t>
  </si>
  <si>
    <t>8939104480042976639</t>
  </si>
  <si>
    <t>100078501</t>
  </si>
  <si>
    <t>8939104520046381524</t>
  </si>
  <si>
    <t>8939104520046381516</t>
  </si>
  <si>
    <t>100075055</t>
  </si>
  <si>
    <t>01541340533</t>
  </si>
  <si>
    <t>luna morena snc</t>
  </si>
  <si>
    <t>8939104480042977884</t>
  </si>
  <si>
    <t>8939104480042977215</t>
  </si>
  <si>
    <t>8939104480042977819</t>
  </si>
  <si>
    <t>100076805</t>
  </si>
  <si>
    <t>8939104480042976852</t>
  </si>
  <si>
    <t>8939104480042976753</t>
  </si>
  <si>
    <t>0093931096</t>
  </si>
  <si>
    <t>8939104480042977165</t>
  </si>
  <si>
    <t>8939104480042976670</t>
  </si>
  <si>
    <t>8939104480042977249</t>
  </si>
  <si>
    <t>8939104480042977223</t>
  </si>
  <si>
    <t>8939104480042977264</t>
  </si>
  <si>
    <t>8939104480042976738</t>
  </si>
  <si>
    <t>8939104480042976647</t>
  </si>
  <si>
    <t>8939104480042976894</t>
  </si>
  <si>
    <t>100077367</t>
  </si>
  <si>
    <t>0209090477</t>
  </si>
  <si>
    <t>nardini andrea</t>
  </si>
  <si>
    <t>8939104480042979435</t>
  </si>
  <si>
    <t>100075197</t>
  </si>
  <si>
    <t>18286871001</t>
  </si>
  <si>
    <t>famelico</t>
  </si>
  <si>
    <t>8939104520046380716</t>
  </si>
  <si>
    <t>100077756</t>
  </si>
  <si>
    <t>8939104570029335492</t>
  </si>
  <si>
    <t>8939104570029335229</t>
  </si>
  <si>
    <t>8939104570029335245</t>
  </si>
  <si>
    <t>100078357</t>
  </si>
  <si>
    <t>02318010549</t>
  </si>
  <si>
    <t>traide movimenti</t>
  </si>
  <si>
    <t>8939104480042978643</t>
  </si>
  <si>
    <t>100078535</t>
  </si>
  <si>
    <t>05337180482</t>
  </si>
  <si>
    <t>fiorentina negru</t>
  </si>
  <si>
    <t>8939104480049306236</t>
  </si>
  <si>
    <t>100078661</t>
  </si>
  <si>
    <t>07503580487</t>
  </si>
  <si>
    <t>hua xia sas</t>
  </si>
  <si>
    <t>8939104480049371065</t>
  </si>
  <si>
    <t>100078977</t>
  </si>
  <si>
    <t>01783070533</t>
  </si>
  <si>
    <t xml:space="preserve">jaku pllum </t>
  </si>
  <si>
    <t>8939104480042976225</t>
  </si>
  <si>
    <t>100079651</t>
  </si>
  <si>
    <t>01837010477</t>
  </si>
  <si>
    <t>d'aloisio tiziano</t>
  </si>
  <si>
    <t>8939104480047390174</t>
  </si>
  <si>
    <t>100066645</t>
  </si>
  <si>
    <t>8939104480023959950</t>
  </si>
  <si>
    <t>8939104480023960081</t>
  </si>
  <si>
    <t>100070605</t>
  </si>
  <si>
    <t>gisalpel</t>
  </si>
  <si>
    <t>8939104480046458410</t>
  </si>
  <si>
    <t>8939104480049371370</t>
  </si>
  <si>
    <t>galaxy s256</t>
  </si>
  <si>
    <t>8939104480049226269</t>
  </si>
  <si>
    <t>samuele guido</t>
  </si>
  <si>
    <t>8939104480049305873</t>
  </si>
  <si>
    <t>giglio giovanni</t>
  </si>
  <si>
    <t>8939104570029457817</t>
  </si>
  <si>
    <t>la giusa gloria</t>
  </si>
  <si>
    <t>8939104520044885575</t>
  </si>
  <si>
    <t>s.a. impianti srls</t>
  </si>
  <si>
    <t>8939104570029457601</t>
  </si>
  <si>
    <t>adelina meta</t>
  </si>
  <si>
    <t>8939104480049498645</t>
  </si>
  <si>
    <t>Totale mw roma est</t>
  </si>
  <si>
    <t>pagabile a febbraio</t>
  </si>
  <si>
    <t>100014637</t>
  </si>
  <si>
    <t>01351670508</t>
  </si>
  <si>
    <t>ma.ge. edilizia in genere</t>
  </si>
  <si>
    <t>8939104480023421639</t>
  </si>
  <si>
    <t>100014443</t>
  </si>
  <si>
    <t>02562700506</t>
  </si>
  <si>
    <t>4m srl</t>
  </si>
  <si>
    <t>8939104480049498587</t>
  </si>
  <si>
    <t>8939104480049498579</t>
  </si>
  <si>
    <t>8939104480049498561</t>
  </si>
  <si>
    <t>100021923</t>
  </si>
  <si>
    <t>8939104480042977553</t>
  </si>
  <si>
    <t>8939104480042977793</t>
  </si>
  <si>
    <t>194483806</t>
  </si>
  <si>
    <t>01719570531</t>
  </si>
  <si>
    <t>impresa aldo di hila</t>
  </si>
  <si>
    <t>8939108630004855488</t>
  </si>
  <si>
    <t>100015579</t>
  </si>
  <si>
    <t>01759950536</t>
  </si>
  <si>
    <t>terra viva di maken naeem huss</t>
  </si>
  <si>
    <t>8939104480042977827</t>
  </si>
  <si>
    <t>100015683</t>
  </si>
  <si>
    <t>01554100519</t>
  </si>
  <si>
    <t>frigo clima</t>
  </si>
  <si>
    <t>8939104480049226988</t>
  </si>
  <si>
    <t>100014951</t>
  </si>
  <si>
    <t>02166470977</t>
  </si>
  <si>
    <t>sun miniato di corti carlo &amp; c</t>
  </si>
  <si>
    <t>8939104570029355748</t>
  </si>
  <si>
    <t>100017211</t>
  </si>
  <si>
    <t>03071660546</t>
  </si>
  <si>
    <t>azienda agricola gori maria pa</t>
  </si>
  <si>
    <t>8939104480042979625</t>
  </si>
  <si>
    <t>8939104480042978650</t>
  </si>
  <si>
    <t>100017619</t>
  </si>
  <si>
    <t>02920840424</t>
  </si>
  <si>
    <t>all easy di vetere davide</t>
  </si>
  <si>
    <t>8939104480042976985</t>
  </si>
  <si>
    <t>100019653</t>
  </si>
  <si>
    <t>02229670506</t>
  </si>
  <si>
    <t>carrozzeria la capannina</t>
  </si>
  <si>
    <t>8939104480023421522</t>
  </si>
  <si>
    <t>100020131</t>
  </si>
  <si>
    <t>02494170505</t>
  </si>
  <si>
    <t>01 tuscany experience</t>
  </si>
  <si>
    <t>8939104480049498611</t>
  </si>
  <si>
    <t>8939104480049498629</t>
  </si>
  <si>
    <t>100020677</t>
  </si>
  <si>
    <t>02462680501</t>
  </si>
  <si>
    <t>giuntini group srl</t>
  </si>
  <si>
    <t>8939104570029457684</t>
  </si>
  <si>
    <t>100019871</t>
  </si>
  <si>
    <t>04754900480</t>
  </si>
  <si>
    <t>filarmonica baldassarre</t>
  </si>
  <si>
    <t>8939104480049226277</t>
  </si>
  <si>
    <t>100022683</t>
  </si>
  <si>
    <t>05725790488</t>
  </si>
  <si>
    <t>fuori di testa di masselli e b</t>
  </si>
  <si>
    <t>8939104480049226509</t>
  </si>
  <si>
    <t>100022211</t>
  </si>
  <si>
    <t>03708980549</t>
  </si>
  <si>
    <t>rahmouni feris</t>
  </si>
  <si>
    <t>8939104480042978536</t>
  </si>
  <si>
    <t>100020117</t>
  </si>
  <si>
    <t>01747260535</t>
  </si>
  <si>
    <t>ps. srls</t>
  </si>
  <si>
    <t>8939104480042977850</t>
  </si>
  <si>
    <t>8939104480042977868</t>
  </si>
  <si>
    <t>8939104480042977835</t>
  </si>
  <si>
    <t>8939104480042977942</t>
  </si>
  <si>
    <t>100020793</t>
  </si>
  <si>
    <t>01508590476</t>
  </si>
  <si>
    <t>dembi s.n.c. di de michele car</t>
  </si>
  <si>
    <t>8939104480047390570</t>
  </si>
  <si>
    <t>100020843</t>
  </si>
  <si>
    <t>8939104480047389499</t>
  </si>
  <si>
    <t>euronics gavinana</t>
  </si>
  <si>
    <t>Emiliano Romei</t>
  </si>
  <si>
    <t>100023547</t>
  </si>
  <si>
    <t>01851550481</t>
  </si>
  <si>
    <t>riccardo nesti</t>
  </si>
  <si>
    <t>8939104480042978759</t>
  </si>
  <si>
    <t>100026691</t>
  </si>
  <si>
    <t>podere capiglia s.s. agricola</t>
  </si>
  <si>
    <t>8939104480049226491</t>
  </si>
  <si>
    <t>100028287</t>
  </si>
  <si>
    <t>8939104480049226517</t>
  </si>
  <si>
    <t>8939104480049226525</t>
  </si>
  <si>
    <t>100025099</t>
  </si>
  <si>
    <t>01191480480</t>
  </si>
  <si>
    <t>cooperativa unitaria invalidi</t>
  </si>
  <si>
    <t>89391044480042976936</t>
  </si>
  <si>
    <t>100027983</t>
  </si>
  <si>
    <t>02442470973</t>
  </si>
  <si>
    <t>wainer berardicurti</t>
  </si>
  <si>
    <t>8939104480042977082</t>
  </si>
  <si>
    <t>8939104480042977058</t>
  </si>
  <si>
    <t>8939104480042976969</t>
  </si>
  <si>
    <t>100028215</t>
  </si>
  <si>
    <t>07526230482</t>
  </si>
  <si>
    <t>simone safina</t>
  </si>
  <si>
    <t>8939104480049371206</t>
  </si>
  <si>
    <t>8939104480049371123</t>
  </si>
  <si>
    <t>100025535</t>
  </si>
  <si>
    <t>04449300484</t>
  </si>
  <si>
    <t>dr. claudio calabrese</t>
  </si>
  <si>
    <t>8939104480042977678</t>
  </si>
  <si>
    <t>8939104480042977959</t>
  </si>
  <si>
    <t>100026785</t>
  </si>
  <si>
    <t>01378390536</t>
  </si>
  <si>
    <t>olivagnoli cristiana</t>
  </si>
  <si>
    <t>8939104480042977926</t>
  </si>
  <si>
    <t>8939104480042977934</t>
  </si>
  <si>
    <t>100026873</t>
  </si>
  <si>
    <t>8939104480042977579</t>
  </si>
  <si>
    <t>194488608</t>
  </si>
  <si>
    <t>00656290541</t>
  </si>
  <si>
    <t>biesse di alfio mattiacci</t>
  </si>
  <si>
    <t>8939104520028006255</t>
  </si>
  <si>
    <t>100036277</t>
  </si>
  <si>
    <t>02279130500</t>
  </si>
  <si>
    <t>mps imprese sociale srl</t>
  </si>
  <si>
    <t>8939104570029457650</t>
  </si>
  <si>
    <t>8939104570029457338</t>
  </si>
  <si>
    <t>100029757</t>
  </si>
  <si>
    <t>02503030500</t>
  </si>
  <si>
    <t>tenuta borgo al sole</t>
  </si>
  <si>
    <t>8939104480046458311</t>
  </si>
  <si>
    <t>100033953</t>
  </si>
  <si>
    <t>07369990481</t>
  </si>
  <si>
    <t>good srl</t>
  </si>
  <si>
    <t>8939104480042977009</t>
  </si>
  <si>
    <t>194493998</t>
  </si>
  <si>
    <t>07037530487</t>
  </si>
  <si>
    <t>raipel srl</t>
  </si>
  <si>
    <t>8939104480042979476</t>
  </si>
  <si>
    <t>8939104480042978247</t>
  </si>
  <si>
    <t>8939104480042979492</t>
  </si>
  <si>
    <t>194494038</t>
  </si>
  <si>
    <t>8939104480042978288</t>
  </si>
  <si>
    <t>100041569</t>
  </si>
  <si>
    <t>01876880475</t>
  </si>
  <si>
    <t>azienda agricola</t>
  </si>
  <si>
    <t>8939104480047389275</t>
  </si>
  <si>
    <t>8939104480047381066</t>
  </si>
  <si>
    <t>100032015</t>
  </si>
  <si>
    <t>01592270530</t>
  </si>
  <si>
    <t>kaleidos cafe</t>
  </si>
  <si>
    <t>8939104480042977876</t>
  </si>
  <si>
    <t>100035331</t>
  </si>
  <si>
    <t>Anastasya Radecha</t>
  </si>
  <si>
    <t>100036399</t>
  </si>
  <si>
    <t>02433350507</t>
  </si>
  <si>
    <t>elettrica it</t>
  </si>
  <si>
    <t>8939104480049498694</t>
  </si>
  <si>
    <t>8939104480049498769</t>
  </si>
  <si>
    <t>100036603</t>
  </si>
  <si>
    <t>02487530517</t>
  </si>
  <si>
    <t>francesco belmonte</t>
  </si>
  <si>
    <t>8939104520028007527</t>
  </si>
  <si>
    <t>100036571</t>
  </si>
  <si>
    <t>8939104520028007535</t>
  </si>
  <si>
    <t>194494330</t>
  </si>
  <si>
    <t>biesse di alfio mattiacci s.a.</t>
  </si>
  <si>
    <t>8939104520028006859</t>
  </si>
  <si>
    <t>1000376607</t>
  </si>
  <si>
    <t>01113970501</t>
  </si>
  <si>
    <t>immobiliare giada snc</t>
  </si>
  <si>
    <t>8939104480046458501</t>
  </si>
  <si>
    <t>8939104520028006024</t>
  </si>
  <si>
    <t>xcover 7</t>
  </si>
  <si>
    <t>10003695</t>
  </si>
  <si>
    <t>03472620487</t>
  </si>
  <si>
    <t>errebi</t>
  </si>
  <si>
    <t>100003219</t>
  </si>
  <si>
    <t>05900470484</t>
  </si>
  <si>
    <t>incastonature pietre preziose</t>
  </si>
  <si>
    <t>100001325</t>
  </si>
  <si>
    <t>100041615</t>
  </si>
  <si>
    <t>04021220548</t>
  </si>
  <si>
    <t>dzhaman oleksandr</t>
  </si>
  <si>
    <t>8939104520028006057</t>
  </si>
  <si>
    <t>100041533</t>
  </si>
  <si>
    <t>03793890546</t>
  </si>
  <si>
    <t>lestini mattia</t>
  </si>
  <si>
    <t>8939104480042980599</t>
  </si>
  <si>
    <t>100012721</t>
  </si>
  <si>
    <t>02122220508</t>
  </si>
  <si>
    <t>moretotrade</t>
  </si>
  <si>
    <t>8939104480049498728</t>
  </si>
  <si>
    <t>100011961</t>
  </si>
  <si>
    <t>01730890504</t>
  </si>
  <si>
    <t>edil fab</t>
  </si>
  <si>
    <t>8939104570029457676</t>
  </si>
  <si>
    <t>100026925</t>
  </si>
  <si>
    <t>100043227</t>
  </si>
  <si>
    <t>02647530977</t>
  </si>
  <si>
    <t>quadro edilizia integrata</t>
  </si>
  <si>
    <t>8939104570029334859</t>
  </si>
  <si>
    <t>100044993</t>
  </si>
  <si>
    <t>06441900484</t>
  </si>
  <si>
    <t>casini cinofilia</t>
  </si>
  <si>
    <t>8939104480049226152</t>
  </si>
  <si>
    <t xml:space="preserve">dr claudio </t>
  </si>
  <si>
    <t>Totale euronics gavinana</t>
  </si>
  <si>
    <t>òf</t>
  </si>
  <si>
    <t>pagabile a gennaio</t>
  </si>
  <si>
    <t>99977421</t>
  </si>
  <si>
    <t>04010200246</t>
  </si>
  <si>
    <t>francesco silvestrin</t>
  </si>
  <si>
    <t>8939104480042979724</t>
  </si>
  <si>
    <t>8939104480042980193</t>
  </si>
  <si>
    <t>99980569</t>
  </si>
  <si>
    <t>15263901009</t>
  </si>
  <si>
    <t>lucci mario ludovico</t>
  </si>
  <si>
    <t>8939104480042980557</t>
  </si>
  <si>
    <t>99980689</t>
  </si>
  <si>
    <t>00912110533</t>
  </si>
  <si>
    <t>coen angelo</t>
  </si>
  <si>
    <t>8939104480042980573</t>
  </si>
  <si>
    <t>8939104480042979997</t>
  </si>
  <si>
    <t>8939104480023585169</t>
  </si>
  <si>
    <t>8939104480042980037</t>
  </si>
  <si>
    <t>99980745</t>
  </si>
  <si>
    <t>8939104480042978577</t>
  </si>
  <si>
    <t>8939104480042978668</t>
  </si>
  <si>
    <t>99980991</t>
  </si>
  <si>
    <t>8939104480042979831</t>
  </si>
  <si>
    <t>8939104480042980078</t>
  </si>
  <si>
    <t>8939104480042980276</t>
  </si>
  <si>
    <t>8939104480042971259</t>
  </si>
  <si>
    <t>99981003</t>
  </si>
  <si>
    <t>8939104480042980367</t>
  </si>
  <si>
    <t>8939104480042979773</t>
  </si>
  <si>
    <t>99981855</t>
  </si>
  <si>
    <t>8939104480042980011</t>
  </si>
  <si>
    <t>8939104480042979807</t>
  </si>
  <si>
    <t>99981909</t>
  </si>
  <si>
    <t>8939104480042980060</t>
  </si>
  <si>
    <t>8939104480042980326</t>
  </si>
  <si>
    <t>99982629</t>
  </si>
  <si>
    <t>8939104480042980375</t>
  </si>
  <si>
    <t>8939104480042977801</t>
  </si>
  <si>
    <t>99983227</t>
  </si>
  <si>
    <t>01750240531</t>
  </si>
  <si>
    <t>alam md jahanger</t>
  </si>
  <si>
    <t>8939104480042980235</t>
  </si>
  <si>
    <t>99980755</t>
  </si>
  <si>
    <t>09814040581</t>
  </si>
  <si>
    <t>rolando todaro</t>
  </si>
  <si>
    <t>8939104480023960438</t>
  </si>
  <si>
    <t>99981031</t>
  </si>
  <si>
    <t>06825401000</t>
  </si>
  <si>
    <t>antonella luzi</t>
  </si>
  <si>
    <t>99981053</t>
  </si>
  <si>
    <t>12559111005</t>
  </si>
  <si>
    <t>anello di re salomone</t>
  </si>
  <si>
    <t>8939104520044903428</t>
  </si>
  <si>
    <t>8939104520044903089</t>
  </si>
  <si>
    <t>99980431</t>
  </si>
  <si>
    <t>02068290507</t>
  </si>
  <si>
    <t>duka andi bar l'antico</t>
  </si>
  <si>
    <t>8939104480049498272</t>
  </si>
  <si>
    <t>8939104480049498264</t>
  </si>
  <si>
    <t>8939104480049498280</t>
  </si>
  <si>
    <t>99980535</t>
  </si>
  <si>
    <t>8939104480049498793</t>
  </si>
  <si>
    <t>99980763</t>
  </si>
  <si>
    <t>02021750506</t>
  </si>
  <si>
    <t>studio tecnico geom. mirko</t>
  </si>
  <si>
    <t>8939104480049498306</t>
  </si>
  <si>
    <t>8939104480049498322</t>
  </si>
  <si>
    <t>99979617</t>
  </si>
  <si>
    <t>03900900485</t>
  </si>
  <si>
    <t>luca signorini</t>
  </si>
  <si>
    <t>8939104480042978692</t>
  </si>
  <si>
    <t>99980323</t>
  </si>
  <si>
    <t>02239600485</t>
  </si>
  <si>
    <t>moda e hair di nolano</t>
  </si>
  <si>
    <t>89391044800429227101</t>
  </si>
  <si>
    <t>99980461</t>
  </si>
  <si>
    <t>02393360512</t>
  </si>
  <si>
    <t>danesi cesare</t>
  </si>
  <si>
    <t>8939104480042978700</t>
  </si>
  <si>
    <t>99980469</t>
  </si>
  <si>
    <t>8939104480042978718</t>
  </si>
  <si>
    <t>99983177</t>
  </si>
  <si>
    <t>02255470482</t>
  </si>
  <si>
    <t>conti massimiliano</t>
  </si>
  <si>
    <t>8939104480042980441</t>
  </si>
  <si>
    <t>99983823</t>
  </si>
  <si>
    <t>05500590483</t>
  </si>
  <si>
    <t>alessio falchetti</t>
  </si>
  <si>
    <t>8939104480042979716</t>
  </si>
  <si>
    <t>99980219</t>
  </si>
  <si>
    <t>05864810485</t>
  </si>
  <si>
    <t>dexa service di francioni</t>
  </si>
  <si>
    <t>8939104480046458469</t>
  </si>
  <si>
    <t>8939104480046458485</t>
  </si>
  <si>
    <t>99980225</t>
  </si>
  <si>
    <t>8939104570030148389</t>
  </si>
  <si>
    <t>99980601</t>
  </si>
  <si>
    <t>07414820485</t>
  </si>
  <si>
    <t>auto service center</t>
  </si>
  <si>
    <t>8939104480042977439</t>
  </si>
  <si>
    <t>8939104480042977405</t>
  </si>
  <si>
    <t>8939104480042977421</t>
  </si>
  <si>
    <t>99980727</t>
  </si>
  <si>
    <t>02491160970</t>
  </si>
  <si>
    <t>multitransport soc.cooperativa</t>
  </si>
  <si>
    <t>8939104480042977330</t>
  </si>
  <si>
    <t>8939104480042977322</t>
  </si>
  <si>
    <t>99984023</t>
  </si>
  <si>
    <t>01936050978</t>
  </si>
  <si>
    <t>luce cooperativa sociale</t>
  </si>
  <si>
    <t>8939104480042977355</t>
  </si>
  <si>
    <t>99985175</t>
  </si>
  <si>
    <t>0246280501</t>
  </si>
  <si>
    <t>8939104480023421654</t>
  </si>
  <si>
    <t>8939104480023421605</t>
  </si>
  <si>
    <t>8939104480023420748</t>
  </si>
  <si>
    <t>8939104570029457775</t>
  </si>
  <si>
    <t>8939104480023420896</t>
  </si>
  <si>
    <t>99985177</t>
  </si>
  <si>
    <t>02074690500</t>
  </si>
  <si>
    <t>gf ambiente srl</t>
  </si>
  <si>
    <t>8939104480023421241</t>
  </si>
  <si>
    <t>99985341</t>
  </si>
  <si>
    <t>04070270485</t>
  </si>
  <si>
    <t>setti fabrizio studio tecnico</t>
  </si>
  <si>
    <t>8939104570030150344</t>
  </si>
  <si>
    <t>194435744</t>
  </si>
  <si>
    <t>02623510977</t>
  </si>
  <si>
    <t>goldenki srl</t>
  </si>
  <si>
    <t>8939104480042977348</t>
  </si>
  <si>
    <t>194435746</t>
  </si>
  <si>
    <t>8939104480042977397</t>
  </si>
  <si>
    <t>99985367</t>
  </si>
  <si>
    <t>01681870976</t>
  </si>
  <si>
    <t>collini catia</t>
  </si>
  <si>
    <t>8939104480042977454</t>
  </si>
  <si>
    <t>99985579</t>
  </si>
  <si>
    <t>01629300532</t>
  </si>
  <si>
    <t>totti fiorella</t>
  </si>
  <si>
    <t>galaxy s25 ultra</t>
  </si>
  <si>
    <t>99988079</t>
  </si>
  <si>
    <t>01629840511</t>
  </si>
  <si>
    <t>daniele viticchi</t>
  </si>
  <si>
    <t>8939104570029334552</t>
  </si>
  <si>
    <t>99974897</t>
  </si>
  <si>
    <t>01554860534</t>
  </si>
  <si>
    <t>ferretti roberta</t>
  </si>
  <si>
    <t>99965229</t>
  </si>
  <si>
    <t>00787610534</t>
  </si>
  <si>
    <t>sogebaro snc</t>
  </si>
  <si>
    <t>99967303</t>
  </si>
  <si>
    <t>99956243</t>
  </si>
  <si>
    <t>99971149</t>
  </si>
  <si>
    <t>01911050464</t>
  </si>
  <si>
    <t>adv &amp; com di fabio perrone</t>
  </si>
  <si>
    <t>99960731</t>
  </si>
  <si>
    <t>10081141219</t>
  </si>
  <si>
    <t>rgcostruzioni srl</t>
  </si>
  <si>
    <t>99961311</t>
  </si>
  <si>
    <t>galaxy a56</t>
  </si>
  <si>
    <t>99961165</t>
  </si>
  <si>
    <t>99987377</t>
  </si>
  <si>
    <t>07493210483</t>
  </si>
  <si>
    <t>flagothier catherine anne evel</t>
  </si>
  <si>
    <t>8939104480042978742</t>
  </si>
  <si>
    <t>99986713</t>
  </si>
  <si>
    <t>02045070477</t>
  </si>
  <si>
    <t>noa group s.r.l.s.</t>
  </si>
  <si>
    <t>8939104570029334545</t>
  </si>
  <si>
    <t>99987251</t>
  </si>
  <si>
    <t>8939104480042979708</t>
  </si>
  <si>
    <t>99987305</t>
  </si>
  <si>
    <t>8939104480042978775</t>
  </si>
  <si>
    <t>194434924</t>
  </si>
  <si>
    <t>05316160653</t>
  </si>
  <si>
    <t>agriturismo la sfruscia resort</t>
  </si>
  <si>
    <t>8939104480049499106</t>
  </si>
  <si>
    <t>8939104480049499114</t>
  </si>
  <si>
    <t>99990115</t>
  </si>
  <si>
    <t>13989361004</t>
  </si>
  <si>
    <t>fgf parrucchieri srls</t>
  </si>
  <si>
    <t>8939104520044903014</t>
  </si>
  <si>
    <t>8939104520044903295</t>
  </si>
  <si>
    <t>8939104520044903311</t>
  </si>
  <si>
    <t>8939104520044902784</t>
  </si>
  <si>
    <t>99991337</t>
  </si>
  <si>
    <t>02120260506</t>
  </si>
  <si>
    <t>studio tecnico pardini</t>
  </si>
  <si>
    <t>8939104480049498470</t>
  </si>
  <si>
    <t>8939104480049498389</t>
  </si>
  <si>
    <t>194426710</t>
  </si>
  <si>
    <t>02270460500</t>
  </si>
  <si>
    <t>tuscania costruzioni srl</t>
  </si>
  <si>
    <t>8939104480049499221</t>
  </si>
  <si>
    <t>8939104480049498249</t>
  </si>
  <si>
    <t>99973871</t>
  </si>
  <si>
    <t>8939104480049499171</t>
  </si>
  <si>
    <t>8939104480049499213</t>
  </si>
  <si>
    <t>8939104480049498520</t>
  </si>
  <si>
    <t>99993045</t>
  </si>
  <si>
    <t>05971431001</t>
  </si>
  <si>
    <t>torre della osa srl</t>
  </si>
  <si>
    <t>8939104480023959547</t>
  </si>
  <si>
    <t>8939104480023851033</t>
  </si>
  <si>
    <t>99992651</t>
  </si>
  <si>
    <t>06318310486</t>
  </si>
  <si>
    <t>pagliazzi mauro</t>
  </si>
  <si>
    <t>8939104480049226210</t>
  </si>
  <si>
    <t>8939104480049226228</t>
  </si>
  <si>
    <t>99992657</t>
  </si>
  <si>
    <t>13009020010</t>
  </si>
  <si>
    <t>anna street srl</t>
  </si>
  <si>
    <t>8939104570029355649</t>
  </si>
  <si>
    <t>8939104570030150153</t>
  </si>
  <si>
    <t>8939104570029355797</t>
  </si>
  <si>
    <t>Barbara Mattiacci</t>
  </si>
  <si>
    <t>99993307</t>
  </si>
  <si>
    <t>03049960549</t>
  </si>
  <si>
    <t>gaetano rota</t>
  </si>
  <si>
    <t>8939104520028006750</t>
  </si>
  <si>
    <t>99993453</t>
  </si>
  <si>
    <t>01730520093</t>
  </si>
  <si>
    <t>piazza federico</t>
  </si>
  <si>
    <t>8939104570029334537</t>
  </si>
  <si>
    <t>99994067</t>
  </si>
  <si>
    <t>07194760489</t>
  </si>
  <si>
    <t>lo stile di klo</t>
  </si>
  <si>
    <t>8939104480049227069</t>
  </si>
  <si>
    <t>8939104480049227077</t>
  </si>
  <si>
    <t>99995127</t>
  </si>
  <si>
    <t>02037620503</t>
  </si>
  <si>
    <t>vaccaro emilia</t>
  </si>
  <si>
    <t>8939104480049498538</t>
  </si>
  <si>
    <t>Nicole Gamboa</t>
  </si>
  <si>
    <t>99995115</t>
  </si>
  <si>
    <t>18030201000</t>
  </si>
  <si>
    <t>bensidi zine el abbidine</t>
  </si>
  <si>
    <t>8939104480023960537</t>
  </si>
  <si>
    <t>8939104480023850951</t>
  </si>
  <si>
    <t>8939104480023960602</t>
  </si>
  <si>
    <t>893910448002360008</t>
  </si>
  <si>
    <t>893910448002350639</t>
  </si>
  <si>
    <t>893910448002395912</t>
  </si>
  <si>
    <t>99996191</t>
  </si>
  <si>
    <t>8939104480023960073</t>
  </si>
  <si>
    <t>8939104480023959208</t>
  </si>
  <si>
    <t>8939104480023959711</t>
  </si>
  <si>
    <t>99996505</t>
  </si>
  <si>
    <t>8939104610003189240</t>
  </si>
  <si>
    <t>8939104480023960248</t>
  </si>
  <si>
    <t>8939104480023959836</t>
  </si>
  <si>
    <t>194458870</t>
  </si>
  <si>
    <t>13437571006</t>
  </si>
  <si>
    <t>davide grimaldi</t>
  </si>
  <si>
    <t>8939104480023959596</t>
  </si>
  <si>
    <t>8939104480023959844</t>
  </si>
  <si>
    <t>Silvia Saglimbeni</t>
  </si>
  <si>
    <t>99999387</t>
  </si>
  <si>
    <t>03772630483</t>
  </si>
  <si>
    <t>di. domenico fanto'</t>
  </si>
  <si>
    <t>8939104480046458220</t>
  </si>
  <si>
    <t>99997113</t>
  </si>
  <si>
    <t>01479740530</t>
  </si>
  <si>
    <t>ecoteti srl</t>
  </si>
  <si>
    <t>8939104480042977595</t>
  </si>
  <si>
    <t>99997533</t>
  </si>
  <si>
    <t>01472430535</t>
  </si>
  <si>
    <t>ottaviani manuela</t>
  </si>
  <si>
    <t>8939104480042978007</t>
  </si>
  <si>
    <t>8939104480042977991</t>
  </si>
  <si>
    <t>100001763</t>
  </si>
  <si>
    <t>impresa aldo di hila gjergj</t>
  </si>
  <si>
    <t>8939104480042977777</t>
  </si>
  <si>
    <t>194460580</t>
  </si>
  <si>
    <t>8939104480042978080</t>
  </si>
  <si>
    <t>8939104480042978023</t>
  </si>
  <si>
    <t>99998149</t>
  </si>
  <si>
    <t>01754420535</t>
  </si>
  <si>
    <t>scavi &amp; servizi av</t>
  </si>
  <si>
    <t>8939104480042977918</t>
  </si>
  <si>
    <t>scavi &amp; servizi av ottaviani manuela</t>
  </si>
  <si>
    <t>8939104480042977561</t>
  </si>
  <si>
    <t>99998599</t>
  </si>
  <si>
    <t>8939104480042978015</t>
  </si>
  <si>
    <t>100000475</t>
  </si>
  <si>
    <t>01794670503</t>
  </si>
  <si>
    <t>maria liberti</t>
  </si>
  <si>
    <t>8939104480023959398</t>
  </si>
  <si>
    <t>8939104480023959406</t>
  </si>
  <si>
    <t>99999715</t>
  </si>
  <si>
    <t>02608050460</t>
  </si>
  <si>
    <t>cortopassi martina</t>
  </si>
  <si>
    <t>8939104480049498504</t>
  </si>
  <si>
    <t>8939104480049498496</t>
  </si>
  <si>
    <t>99999771</t>
  </si>
  <si>
    <t>01989030505</t>
  </si>
  <si>
    <t>roberto scamuzzi</t>
  </si>
  <si>
    <t>8939104480049498850</t>
  </si>
  <si>
    <t>100000363</t>
  </si>
  <si>
    <t>8939104480049498868</t>
  </si>
  <si>
    <t>100001123</t>
  </si>
  <si>
    <t>04195450921</t>
  </si>
  <si>
    <t>enjoy srls</t>
  </si>
  <si>
    <t>8939104570030149312</t>
  </si>
  <si>
    <t>incastonatore pietre preziose</t>
  </si>
  <si>
    <t>8939104570030150211</t>
  </si>
  <si>
    <t>8939104570029355995</t>
  </si>
  <si>
    <t>100001311</t>
  </si>
  <si>
    <t>8939104480042978544</t>
  </si>
  <si>
    <t>8939104480042978551</t>
  </si>
  <si>
    <t>100004811</t>
  </si>
  <si>
    <t>8939104480023960495</t>
  </si>
  <si>
    <t>100005429</t>
  </si>
  <si>
    <t>17048841005</t>
  </si>
  <si>
    <t>musy valeria</t>
  </si>
  <si>
    <t>8939104480023851017</t>
  </si>
  <si>
    <t>8939104480046458535</t>
  </si>
  <si>
    <t>8939104570030149452</t>
  </si>
  <si>
    <t>100002005</t>
  </si>
  <si>
    <t>06057560481</t>
  </si>
  <si>
    <t>c.a. ditta</t>
  </si>
  <si>
    <t>8939104480049498397</t>
  </si>
  <si>
    <t>100001789</t>
  </si>
  <si>
    <t>02511760502</t>
  </si>
  <si>
    <t>pierotti ing. francesco</t>
  </si>
  <si>
    <t>8939104480049498884</t>
  </si>
  <si>
    <t>100001817</t>
  </si>
  <si>
    <t>8939104480049498876</t>
  </si>
  <si>
    <t>8939104480049498488</t>
  </si>
  <si>
    <t>100002029</t>
  </si>
  <si>
    <t>8939104520028006495</t>
  </si>
  <si>
    <t>100001843</t>
  </si>
  <si>
    <t>03215210547</t>
  </si>
  <si>
    <t>fabrizio bacianini</t>
  </si>
  <si>
    <t>8939104480042978510</t>
  </si>
  <si>
    <t>8939104480042978502</t>
  </si>
  <si>
    <t>100002045</t>
  </si>
  <si>
    <t>01579110535</t>
  </si>
  <si>
    <t>azienda agricola il podere</t>
  </si>
  <si>
    <t>8939104480042977769</t>
  </si>
  <si>
    <t>8939104480042978072</t>
  </si>
  <si>
    <t>100001777</t>
  </si>
  <si>
    <t>01871220974</t>
  </si>
  <si>
    <t>cristian cuttano</t>
  </si>
  <si>
    <t>8939104480042977462</t>
  </si>
  <si>
    <t>100001703</t>
  </si>
  <si>
    <t>07020070483</t>
  </si>
  <si>
    <t>matteo mugnai</t>
  </si>
  <si>
    <t>8939104480042978767</t>
  </si>
  <si>
    <t>100002027</t>
  </si>
  <si>
    <t>8939104520028006354</t>
  </si>
  <si>
    <t>194466528</t>
  </si>
  <si>
    <t>18204441002</t>
  </si>
  <si>
    <t>gamboa ramirez nicole dayana</t>
  </si>
  <si>
    <t>8939104520044902552</t>
  </si>
  <si>
    <t>194466530</t>
  </si>
  <si>
    <t>8939104570030153751</t>
  </si>
  <si>
    <t>194466532</t>
  </si>
  <si>
    <t>8939104520044902321</t>
  </si>
  <si>
    <t>100003063</t>
  </si>
  <si>
    <t>07172760485</t>
  </si>
  <si>
    <t>mighty</t>
  </si>
  <si>
    <t>8939104480042996293</t>
  </si>
  <si>
    <t>100003061</t>
  </si>
  <si>
    <t>01654660537</t>
  </si>
  <si>
    <t>istanbul pizzeria kebab</t>
  </si>
  <si>
    <t>8939104480042978064</t>
  </si>
  <si>
    <t>100006411</t>
  </si>
  <si>
    <t>8939104480042978049</t>
  </si>
  <si>
    <t>8939104480042978056</t>
  </si>
  <si>
    <t>100003395</t>
  </si>
  <si>
    <t>01966540500</t>
  </si>
  <si>
    <t>penso giuseppe</t>
  </si>
  <si>
    <t>8939104480049498413</t>
  </si>
  <si>
    <t>100003695</t>
  </si>
  <si>
    <t>100005371</t>
  </si>
  <si>
    <t>14335831005</t>
  </si>
  <si>
    <t>musy simone</t>
  </si>
  <si>
    <t>8939104480023851116</t>
  </si>
  <si>
    <t>100004603</t>
  </si>
  <si>
    <t>noa group srls</t>
  </si>
  <si>
    <t>8939104480042977389</t>
  </si>
  <si>
    <t>100006739</t>
  </si>
  <si>
    <t>06153840878</t>
  </si>
  <si>
    <t>pm pallets di pappalardo mauri</t>
  </si>
  <si>
    <t>8939104480049499007</t>
  </si>
  <si>
    <t>100007153</t>
  </si>
  <si>
    <t>8939104480049226434</t>
  </si>
  <si>
    <t>100008207</t>
  </si>
  <si>
    <t>8939104480049226244</t>
  </si>
  <si>
    <t>100008913</t>
  </si>
  <si>
    <t>16879941009</t>
  </si>
  <si>
    <t>dott.ssa eleonora scotti</t>
  </si>
  <si>
    <t>8939104480023960214</t>
  </si>
  <si>
    <t>100008857</t>
  </si>
  <si>
    <t>8939104480023959661</t>
  </si>
  <si>
    <t>100008387</t>
  </si>
  <si>
    <t>02539060505</t>
  </si>
  <si>
    <t>silvia saglimbeni</t>
  </si>
  <si>
    <t>8939104480042977306</t>
  </si>
  <si>
    <t>100011221</t>
  </si>
  <si>
    <t>03505851000</t>
  </si>
  <si>
    <t>gridi</t>
  </si>
  <si>
    <t>8939104480023959232</t>
  </si>
  <si>
    <t>100010611</t>
  </si>
  <si>
    <t>06910400487</t>
  </si>
  <si>
    <t>nastro raffaella</t>
  </si>
  <si>
    <t>8939104570029334297</t>
  </si>
  <si>
    <t>8939104570029334305</t>
  </si>
  <si>
    <t>100010241</t>
  </si>
  <si>
    <t>02563660501</t>
  </si>
  <si>
    <t>davide john gallo</t>
  </si>
  <si>
    <t>8939104570029334388</t>
  </si>
  <si>
    <t>100010211</t>
  </si>
  <si>
    <t>8939104570029334511</t>
  </si>
  <si>
    <t>100011009</t>
  </si>
  <si>
    <t>070200704083</t>
  </si>
  <si>
    <t>8939104480042978791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</si>
</sst>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"/>
    <numFmt numFmtId="166" formatCode="mmmm yyyy"/>
    <numFmt numFmtId="167" formatCode="d/m"/>
    <numFmt numFmtId="168" formatCode="dd/mm/yyyy"/>
  </numFmts>
  <fonts count="8">
    <font>
      <sz val="10.0"/>
      <color rgb="FF000000"/>
      <name val="Arial"/>
      <scheme val="minor"/>
    </font>
    <font>
      <color theme="1"/>
      <name val="Exo 2"/>
    </font>
    <font>
      <b/>
      <i/>
      <sz val="12.0"/>
      <color rgb="FFFFFFFF"/>
      <name val="Exo 2"/>
    </font>
    <font>
      <b/>
      <i/>
      <color theme="1"/>
      <name val="Exo 2"/>
    </font>
    <font>
      <color theme="1"/>
      <name val="Arial"/>
    </font>
    <font>
      <color theme="1"/>
      <name val="Arial"/>
      <scheme val="minor"/>
    </font>
    <font>
      <i/>
      <color theme="1"/>
      <name val="Exo 2"/>
    </font>
    <font/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49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vertical="bottom"/>
    </xf>
    <xf borderId="1" fillId="0" fontId="1" numFmtId="49" xfId="0" applyAlignment="1" applyBorder="1" applyFont="1" applyNumberFormat="1">
      <alignment horizontal="center" readingOrder="0" vertical="bottom"/>
    </xf>
    <xf borderId="1" fillId="0" fontId="1" numFmtId="49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vertical="bottom"/>
    </xf>
    <xf borderId="1" fillId="0" fontId="1" numFmtId="49" xfId="0" applyAlignment="1" applyBorder="1" applyFont="1" applyNumberForma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0" fillId="0" fontId="1" numFmtId="49" xfId="0" applyAlignment="1" applyFont="1" applyNumberForma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0" fontId="1" numFmtId="49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horizontal="center" readingOrder="0" vertical="bottom"/>
    </xf>
    <xf borderId="1" fillId="0" fontId="1" numFmtId="164" xfId="0" applyAlignment="1" applyBorder="1" applyFont="1" applyNumberFormat="1">
      <alignment horizontal="center" readingOrder="0" vertical="top"/>
    </xf>
    <xf borderId="1" fillId="0" fontId="1" numFmtId="49" xfId="0" applyAlignment="1" applyBorder="1" applyFont="1" applyNumberFormat="1">
      <alignment horizontal="center" vertical="bottom"/>
    </xf>
    <xf borderId="0" fillId="3" fontId="1" numFmtId="49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vertical="bottom"/>
    </xf>
    <xf borderId="1" fillId="0" fontId="4" numFmtId="49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49" xfId="0" applyAlignment="1" applyBorder="1" applyFont="1" applyNumberFormat="1">
      <alignment horizontal="right" vertical="bottom"/>
    </xf>
    <xf borderId="1" fillId="0" fontId="1" numFmtId="49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5" numFmtId="164" xfId="0" applyFont="1" applyNumberFormat="1"/>
    <xf borderId="2" fillId="4" fontId="6" numFmtId="166" xfId="0" applyAlignment="1" applyBorder="1" applyFill="1" applyFont="1" applyNumberFormat="1">
      <alignment horizontal="center" readingOrder="0" vertical="bottom"/>
    </xf>
    <xf borderId="3" fillId="0" fontId="7" numFmtId="0" xfId="0" applyBorder="1" applyFont="1"/>
    <xf borderId="0" fillId="0" fontId="1" numFmtId="49" xfId="0" applyAlignment="1" applyFont="1" applyNumberFormat="1">
      <alignment vertical="bottom"/>
    </xf>
    <xf borderId="2" fillId="4" fontId="6" numFmtId="166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readingOrder="0" vertical="bottom"/>
    </xf>
    <xf borderId="1" fillId="4" fontId="6" numFmtId="1" xfId="0" applyAlignment="1" applyBorder="1" applyFont="1" applyNumberFormat="1">
      <alignment horizontal="center" vertical="bottom"/>
    </xf>
    <xf borderId="1" fillId="0" fontId="1" numFmtId="167" xfId="0" applyAlignment="1" applyBorder="1" applyFont="1" applyNumberFormat="1">
      <alignment horizontal="center" readingOrder="0" vertical="bottom"/>
    </xf>
    <xf borderId="1" fillId="0" fontId="1" numFmtId="168" xfId="0" applyAlignment="1" applyBorder="1" applyFont="1" applyNumberFormat="1">
      <alignment horizontal="center" readingOrder="0" vertical="bottom"/>
    </xf>
    <xf borderId="1" fillId="5" fontId="3" numFmtId="0" xfId="0" applyAlignment="1" applyBorder="1" applyFill="1" applyFont="1">
      <alignment horizontal="center" readingOrder="0" vertical="bottom"/>
    </xf>
    <xf borderId="1" fillId="5" fontId="1" numFmtId="0" xfId="0" applyAlignment="1" applyBorder="1" applyFont="1">
      <alignment readingOrder="0" vertical="bottom"/>
    </xf>
    <xf borderId="1" fillId="5" fontId="1" numFmtId="49" xfId="0" applyAlignment="1" applyBorder="1" applyFont="1" applyNumberFormat="1">
      <alignment readingOrder="0" vertical="bottom"/>
    </xf>
    <xf borderId="1" fillId="5" fontId="1" numFmtId="49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horizontal="center" readingOrder="0" vertical="bottom"/>
    </xf>
    <xf borderId="1" fillId="5" fontId="1" numFmtId="164" xfId="0" applyAlignment="1" applyBorder="1" applyFont="1" applyNumberFormat="1">
      <alignment horizontal="center" readingOrder="0" vertical="bottom"/>
    </xf>
    <xf borderId="1" fillId="5" fontId="1" numFmtId="49" xfId="0" applyAlignment="1" applyBorder="1" applyFont="1" applyNumberFormat="1">
      <alignment horizontal="center" vertical="bottom"/>
    </xf>
    <xf borderId="1" fillId="5" fontId="1" numFmtId="165" xfId="0" applyAlignment="1" applyBorder="1" applyFont="1" applyNumberFormat="1">
      <alignment horizontal="center" readingOrder="0" vertical="bottom"/>
    </xf>
    <xf borderId="1" fillId="5" fontId="1" numFmtId="49" xfId="0" applyAlignment="1" applyBorder="1" applyFont="1" applyNumberFormat="1">
      <alignment horizontal="right" readingOrder="0" vertical="bottom"/>
    </xf>
    <xf borderId="1" fillId="5" fontId="1" numFmtId="164" xfId="0" applyAlignment="1" applyBorder="1" applyFont="1" applyNumberFormat="1">
      <alignment readingOrder="0" vertical="bottom"/>
    </xf>
    <xf borderId="1" fillId="0" fontId="1" numFmtId="165" xfId="0" applyAlignment="1" applyBorder="1" applyFont="1" applyNumberFormat="1">
      <alignment readingOrder="0" vertical="bottom"/>
    </xf>
    <xf borderId="1" fillId="0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vertical="bottom"/>
    </xf>
    <xf borderId="1" fillId="0" fontId="1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N250" sheet="aprile 2026"/>
  </cacheSource>
  <cacheFields>
    <cacheField name="negozio" numFmtId="0">
      <sharedItems containsBlank="1">
        <s v="mw empoli"/>
        <s v="mw figline "/>
        <s v="euronics grosseto"/>
        <s v="mw roma (porta di)"/>
        <m/>
        <s v="comet pontedera"/>
        <s v="mw gigli"/>
        <s v="mw pisa"/>
        <s v="mw agliana"/>
        <s v="euronics montecatini"/>
        <s v="mw collestrada"/>
        <s v="euronics parco prato"/>
        <s v="euronics corciano"/>
        <s v="mw novoli"/>
      </sharedItems>
    </cacheField>
    <cacheField name="operatore" numFmtId="0">
      <sharedItems containsBlank="1">
        <s v="Mariami Iashvili"/>
        <s v="Serenella Nacci"/>
        <s v="Adelina Meta"/>
        <s v="Simona Cucu"/>
        <m/>
        <s v="Giovanni Giglio"/>
        <s v="Francesco Butelli"/>
        <s v="Gloria La Giusa"/>
        <s v="Samuele Guido"/>
        <s v="Carmen Davila"/>
        <s v="Aissam El Moujaid"/>
        <s v="Matteo Stefanelli"/>
        <s v="David John Gallo"/>
        <s v="Fabian Sulmina"/>
        <s v="Feris Rahmouni"/>
      </sharedItems>
    </cacheField>
    <cacheField name="id pratica" numFmtId="49">
      <sharedItems containsBlank="1">
        <s v="100081029"/>
        <m/>
        <s v="100084649"/>
        <s v="100082747"/>
        <s v="100084417"/>
        <s v="100078519"/>
        <s v="100082407"/>
        <s v="100081925"/>
        <s v="100081761"/>
        <s v="100083013"/>
        <s v="100082965"/>
        <s v="100077765"/>
        <s v="100058669"/>
        <s v="100083047"/>
        <s v="100084443"/>
        <s v="100084029"/>
        <s v="194563216"/>
        <s v="100085477"/>
        <s v="194564958"/>
        <s v="100086861"/>
        <s v="100085779"/>
        <s v="100087001"/>
        <s v="100091327"/>
        <s v="100091585"/>
        <s v="100091525"/>
        <s v="100089767"/>
        <s v="100088065"/>
        <s v="100093283"/>
        <s v="100092723"/>
        <s v="100092859"/>
        <s v="100093477"/>
        <s v="100097543"/>
        <s v="100098205"/>
        <s v="100094275"/>
        <s v="100093911"/>
        <s v="100096307"/>
        <s v="100093793"/>
        <s v="100096973"/>
        <s v="100102117"/>
        <s v="100096463"/>
        <s v="194578658"/>
        <s v="100099183"/>
        <s v="100098399"/>
        <s v="100097485"/>
        <s v="100099611"/>
        <s v="100099713"/>
        <s v="100099571"/>
        <s v="100099649"/>
        <s v="100100649"/>
        <s v="100101679"/>
        <s v="100101353"/>
        <s v="100102105"/>
        <s v="100101811"/>
        <s v="100102859"/>
        <s v="100102587"/>
      </sharedItems>
    </cacheField>
    <cacheField name="partita iva" numFmtId="49">
      <sharedItems containsBlank="1">
        <s v="04200860486"/>
        <s v="06326230486"/>
        <s v="07444510486"/>
        <s v="02131540474"/>
        <s v="01461320531"/>
        <s v="97670420153"/>
        <m/>
        <s v="05563851004"/>
        <s v="02437450501"/>
        <s v="01732790538"/>
        <s v="07286710483"/>
        <s v="02005640475"/>
        <s v="06802960481"/>
        <s v="01472870524"/>
        <s v="07206490489"/>
        <s v="01592310112"/>
        <s v="07523300486"/>
        <s v="11896871008"/>
        <s v="01585950536"/>
        <s v="02055290478"/>
        <s v="02311710509"/>
        <s v="01241030327"/>
        <s v="04068070483"/>
        <s v="02216660502"/>
        <s v="05851340488"/>
        <s v="01343980536"/>
        <s v="02555100979"/>
        <s v="02073010502"/>
        <s v="01661630507"/>
        <s v="03381580483"/>
        <s v="05905630488"/>
        <s v="06823520488"/>
        <s v="01941070482"/>
        <s v="01774410532"/>
        <s v="02198720977"/>
        <s v="01535970550"/>
        <s v="02637750973"/>
        <s v="03614150542"/>
        <s v="04774980165"/>
        <s v="07476620484"/>
        <s v="01775530536"/>
        <s v="02510460971"/>
        <s v="01193810536"/>
        <s v="06450120587"/>
        <s v="07535090489"/>
        <s v="01692320979"/>
        <s v="01878350766"/>
        <s v="02517910507"/>
        <s v="04703720484"/>
        <s v="07036190481"/>
        <s v="07305750486"/>
        <s v="02573680978"/>
        <s v="01707520530"/>
      </sharedItems>
    </cacheField>
    <cacheField name="ragione sociale" numFmtId="0">
      <sharedItems containsBlank="1">
        <s v="arpa di usignoli gianluca"/>
        <s v="gisapel"/>
        <s v="kalma hair stylist"/>
        <s v="juniores padel academy"/>
        <s v="jockey snc"/>
        <s v="deutscher akademischer"/>
        <m/>
        <s v="flaminia centro gomme"/>
        <s v="s.a. impianti"/>
        <s v="hosteria da cinzia"/>
        <s v="paolucci benedetta"/>
        <s v="giulia buongiovanni"/>
        <s v="impresa edile gavilli"/>
        <s v="dottor canapa"/>
        <s v="podere cavriglia "/>
        <s v="islam shaidul"/>
        <s v="formaggi d'autore"/>
        <s v="texad"/>
        <s v="mazzuoli infissi"/>
        <s v="akipost srls"/>
        <s v="eurotruck &amp; trailer"/>
        <s v="pangos mattia"/>
        <s v="studio associato politi"/>
        <s v="la pizza magica"/>
        <s v="system pack di braccini alessa"/>
        <s v="bicocca caminetti"/>
        <s v="marco leggieri"/>
        <s v="carrozzeria polo srl"/>
        <s v="intergomma"/>
        <s v="elmi la gelateria"/>
        <s v="grotta"/>
        <s v="maria gavrilova"/>
        <s v="arci empolese valdelsa"/>
        <s v="turku ilir"/>
        <s v="decofibre"/>
        <s v="pitwo solutions"/>
        <s v="radio mastrella"/>
        <s v="piccole orme"/>
        <s v="aabid hassan"/>
        <s v="andrea giani"/>
        <s v="ama giardini srl"/>
        <s v=" ama giardini srl"/>
        <s v="lionmart"/>
        <s v="michele detti"/>
        <s v="takahasmi mieko"/>
        <s v="simple shop di zhang xiaohua"/>
        <s v="orlandi marco"/>
        <s v="al solito posto"/>
        <s v="rent tuscany srl"/>
        <s v="maurizio ciacci"/>
        <s v="zenelaj elvis"/>
        <s v="attack service"/>
        <s v="moda gio di dichiara giovanna"/>
        <s v="corridori roberto"/>
      </sharedItems>
    </cacheField>
    <cacheField name="seriale sim" numFmtId="0">
      <sharedItems containsBlank="1">
        <s v="8939104480049370802"/>
        <s v="8939104480046458576"/>
        <s v="8939104480046427670"/>
        <s v="8939104480049371131"/>
        <s v="8939104480042976357"/>
        <s v="8939104480023960255"/>
        <m/>
        <s v="iphone 17 pro"/>
        <s v="iphone 17"/>
        <s v="8939104480042976209"/>
        <s v="8939104480042976191"/>
        <s v="8939104480042976183"/>
        <s v="8939104480042976068"/>
        <s v="8939104570029334917"/>
        <s v="8939104570029334925"/>
        <s v="iphone 16e"/>
        <s v="iphone 17 promax"/>
        <s v="8939104480049226889"/>
        <s v="8939104480049498918"/>
        <s v="8939104480049498553"/>
        <s v="8939104480049370844"/>
        <s v="8939104480049371727"/>
        <s v="8939104520046381367"/>
        <s v="8939104520046379718"/>
        <s v="8939104480042976050"/>
        <s v="8939104480047381660"/>
        <s v="8939104480042977090"/>
        <s v="8939104610004234318"/>
        <s v="8939104480042978486"/>
        <s v="8939104480049370901"/>
        <s v="8939104480049371735"/>
        <s v="8939104480049302839"/>
        <s v="8939104480046458477"/>
        <s v="8939104480042976258"/>
        <s v="8939104480042976241"/>
        <s v="8939104480047389721"/>
        <s v="8939104570029457791"/>
        <s v="8939104570029457825"/>
        <s v="8939104480023420763"/>
        <s v="8939104480046427696"/>
        <s v="8939104480046425583"/>
        <s v="8939104480046427852"/>
        <s v="8939104570029335047"/>
        <s v="8939104570029335054"/>
        <s v="8939104480049370935"/>
        <s v="8939104480049371032"/>
        <s v="8939104480049371651"/>
        <s v="8939104480047470240"/>
        <s v="8939104480047389184"/>
        <s v="8939104520046117191"/>
        <s v="8939104520046116771"/>
        <s v="8939104480042977272"/>
        <s v="8939104610004234359"/>
        <s v="8939104480042979617"/>
        <s v="8939104480042976365"/>
        <s v="8939104480049371172"/>
        <s v="8939104480042977496"/>
        <s v="8939104480042977504"/>
        <s v="8939104480042977512"/>
        <s v="8939104480047390216"/>
        <s v="8939104480042977702"/>
        <s v="8939104480042976233"/>
        <s v="8939104520049044673"/>
        <s v="8939104520049044525"/>
        <s v="8939104480049370869"/>
        <s v="8939104480042977041"/>
        <s v="8939104480042977017"/>
        <s v="8939104480049305881"/>
        <s v="8939104480049302847"/>
        <s v="8939104520049044483"/>
        <s v="8939104520049044186"/>
        <s v="8939104520049044871"/>
        <s v="8939104520049044632"/>
        <s v="8939104520049044343"/>
        <s v="8939104520049043915"/>
        <s v="893910452004944178"/>
        <s v="8939104520049044533"/>
        <s v="8939104480046428058"/>
        <s v="8939104520044886458"/>
        <s v="8939104570029334909"/>
        <s v="8939104480042977520"/>
        <s v="8939104480042977538"/>
        <s v="8939104480042977728"/>
        <s v="8939104480042977546"/>
      </sharedItems>
    </cacheField>
    <cacheField name="piano tariffario inserito" numFmtId="0">
      <sharedItems containsBlank="1">
        <s v="fissa comfort"/>
        <s v="mobile smart"/>
        <s v="fissa fwa5g"/>
        <s v="mobile comfort "/>
        <s v="fissa smart"/>
        <m/>
        <s v="easy rent"/>
        <s v="mobile ob"/>
        <s v="fissa ob"/>
      </sharedItems>
    </cacheField>
    <cacheField name="inserito" numFmtId="164">
      <sharedItems containsDate="1" containsString="0" containsBlank="1">
        <d v="2026-04-01T00:00:00Z"/>
        <d v="2026-04-02T00:00:00Z"/>
        <m/>
        <d v="2026-04-03T00:00:00Z"/>
        <d v="2026-04-07T00:00:00Z"/>
        <d v="2026-04-04T00:00:00Z"/>
        <d v="2026-04-11T00:00:00Z"/>
        <d v="2026-04-12T00:00:00Z"/>
        <d v="2026-04-10T00:00:00Z"/>
        <d v="2026-04-08T00:00:00Z"/>
        <d v="2026-04-14T00:00:00Z"/>
        <d v="2026-04-13T00:00:00Z"/>
        <d v="2026-04-16T00:00:00Z"/>
        <d v="2026-04-17T00:00:00Z"/>
        <d v="2026-04-21T00:00:00Z"/>
        <d v="2026-04-18T00:00:00Z"/>
        <d v="2026-04-19T00:00:00Z"/>
        <d v="2026-04-20T00:00:00Z"/>
        <d v="2026-04-22T00:00:00Z"/>
      </sharedItems>
    </cacheField>
    <cacheField name="attivato" numFmtId="164">
      <sharedItems containsDate="1" containsString="0" containsBlank="1">
        <d v="2026-04-04T00:00:00Z"/>
        <d v="2026-04-14T00:00:00Z"/>
        <d v="2026-04-01T00:00:00Z"/>
        <d v="2026-04-07T00:00:00Z"/>
        <d v="2026-04-08T00:00:00Z"/>
        <m/>
        <d v="2026-04-02T00:00:00Z"/>
        <d v="2026-04-03T00:00:00Z"/>
        <d v="2026-04-13T00:00:00Z"/>
        <d v="2026-04-12T00:00:00Z"/>
        <d v="2026-04-11T00:00:00Z"/>
        <d v="2026-04-09T00:00:00Z"/>
        <d v="2026-04-15T00:00:00Z"/>
        <d v="2026-04-18T00:00:00Z"/>
        <d v="2026-04-17T00:00:00Z"/>
        <d v="2026-04-16T00:00:00Z"/>
        <d v="2026-04-20T00:00:00Z"/>
        <d v="2026-04-22T00:00:00Z"/>
        <d v="2026-04-21T00:00:00Z"/>
      </sharedItems>
    </cacheField>
    <cacheField name="pagabile ad aprile" numFmtId="0">
      <sharedItems containsBlank="1">
        <s v="sì"/>
        <m/>
      </sharedItems>
    </cacheField>
    <cacheField name="note" numFmtId="0">
      <sharedItems containsBlank="1">
        <s v="inserito mese precedente"/>
        <m/>
      </sharedItems>
    </cacheField>
    <cacheField name="pt inserito" numFmtId="0">
      <sharedItems>
        <s v="fissa "/>
        <s v="mobile"/>
        <s v=""/>
        <s v="easy r"/>
      </sharedItems>
    </cacheField>
    <cacheField name="pt attivato" numFmtId="0">
      <sharedItems>
        <s v="fissa "/>
        <s v="mobile"/>
        <s v=""/>
        <s v="easy r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N250" sheet="marzo 2026"/>
  </cacheSource>
  <cacheFields>
    <cacheField name="negozio" numFmtId="0">
      <sharedItems containsBlank="1">
        <s v="mw figline "/>
        <s v="mw pisa"/>
        <s v="euronics grosseto"/>
        <s v="mw collestrada"/>
        <s v="mw gigli"/>
        <s v="comet pontedera"/>
        <s v="mw agliana"/>
        <s v="euronics parco prato"/>
        <s v="mw roma (porta di)"/>
        <s v="euronics montecatini"/>
        <s v="mw empoli"/>
        <s v="mw roma est"/>
        <s v="euronics corciano"/>
        <m/>
      </sharedItems>
    </cacheField>
    <cacheField name="operatore" numFmtId="0">
      <sharedItems containsBlank="1">
        <s v="Serenella Nacci"/>
        <s v="Samuele Guido"/>
        <s v="Adelina Meta"/>
        <s v="Francesco Belmonte"/>
        <s v="Fabian Sulmina"/>
        <s v="Giovanni Giglio"/>
        <s v="Matteo Stefanelli"/>
        <s v="Gloria La Giusa"/>
        <s v="Simona Cucu"/>
        <s v="Ditifet"/>
        <s v="David John Gallo"/>
        <s v="Francesco Butelli"/>
        <s v="Mariami Iashvili"/>
        <s v="Aissam El Moujaid"/>
        <s v="Feris Rahmouni"/>
        <m/>
      </sharedItems>
    </cacheField>
    <cacheField name="id pratica">
      <sharedItems containsBlank="1" containsMixedTypes="1" containsNumber="1" containsInteger="1">
        <s v="100045259"/>
        <s v="100046173"/>
        <m/>
        <s v="100035649"/>
        <s v="100052573"/>
        <s v="100037859"/>
        <s v="100046357"/>
        <s v="100046337"/>
        <s v="100046487"/>
        <s v="100046783"/>
        <s v="100046695"/>
        <s v="100046551"/>
        <s v="100046681"/>
        <s v="100047337"/>
        <s v="100046857"/>
        <s v="100047325"/>
        <s v="100048161"/>
        <s v="100048227"/>
        <s v="100048457"/>
        <s v="100048581"/>
        <s v="100050837"/>
        <s v="100051773"/>
        <s v="100050491"/>
        <s v="194523578"/>
        <s v="100052361"/>
        <s v="100053495"/>
        <s v="100053669"/>
        <s v="100076583"/>
        <s v="194481544"/>
        <s v="100052773"/>
        <s v="100079987"/>
        <s v="100081587"/>
        <s v="100064901"/>
        <s v="100064975"/>
        <s v="194527214"/>
        <s v="100056477"/>
        <s v="100053831"/>
        <s v="100055099"/>
        <s v="100055371"/>
        <s v="100056475"/>
        <s v="100057319"/>
        <s v="100057581"/>
        <s v="100057525"/>
        <s v="100057199"/>
        <s v="100056543"/>
        <s v="100056523"/>
        <s v="100057359"/>
        <s v="100056695"/>
        <s v="100025421"/>
        <s v="100058669"/>
        <s v="100059755"/>
        <s v="100059171"/>
        <s v="100059517"/>
        <s v="100059481"/>
        <s v="100060711"/>
        <s v="100060695"/>
        <s v="100064719"/>
        <s v="100060283"/>
        <s v="100060321"/>
        <s v="100060441"/>
        <s v="100060697"/>
        <s v="100060687"/>
        <s v="100060659"/>
        <s v="100060555"/>
        <s v="100060557"/>
        <s v="100060731"/>
        <s v="100062217"/>
        <s v="100063327"/>
        <s v="100060077"/>
        <s v="100065153"/>
        <s v="100068053"/>
        <s v="100066997"/>
        <s v="100068383"/>
        <s v="100067443"/>
        <s v="100064999"/>
        <s v="100067593"/>
        <s v="100069017"/>
        <s v="100067989"/>
        <s v="100067701"/>
        <s v="100069201"/>
        <s v="100069065"/>
        <s v="100069225"/>
        <s v="100069067"/>
        <s v="100070095"/>
        <s v="100069815"/>
        <s v="100078655"/>
        <s v="100072333"/>
        <s v="100070479"/>
        <s v="100070427"/>
        <s v="100073427"/>
        <s v="100073429"/>
        <s v="100073697"/>
        <s v="100076061"/>
        <s v="100075021"/>
        <s v="100075015"/>
        <s v="100073589"/>
        <s v="100078501"/>
        <s v="100078519"/>
        <s v="100075055"/>
        <s v="100076805"/>
        <s v="100077367"/>
        <s v="100075197"/>
        <s v="100077756"/>
        <s v="100078357"/>
        <s v="100078535"/>
        <s v="100078661"/>
        <s v="100078977"/>
        <s v="100079651"/>
        <s v="100066645"/>
        <s v="100070605"/>
        <n v="1.00080881E8"/>
        <n v="1.00082029E8"/>
        <n v="1.00082023E8"/>
        <n v="1.00082135E8"/>
        <n v="1.00081761E8"/>
        <n v="1.00082407E8"/>
        <n v="1.00082349E8"/>
        <n v="1.00079987E8"/>
      </sharedItems>
    </cacheField>
    <cacheField name="partita iva">
      <sharedItems containsBlank="1" containsMixedTypes="1" containsNumber="1" containsInteger="1">
        <s v="06443660482"/>
        <s v="01600340507"/>
        <s v="01679550531"/>
        <s v="01855640510"/>
        <s v="03484740547"/>
        <s v="02382600340"/>
        <s v="01557330527"/>
        <s v="02523080469"/>
        <s v="01410790537"/>
        <s v="01697390530"/>
        <s v="01312380478"/>
        <s v="01474030507"/>
        <s v="02454990504"/>
        <s v="01875260505"/>
        <s v="01614750535"/>
        <s v="01980970972"/>
        <s v="04016020549"/>
        <s v="04529070486"/>
        <s v="02264480480"/>
        <s v="01665180533"/>
        <s v="02116140472"/>
        <s v="00508260973"/>
        <s v="01726270539"/>
        <s v="04876920481"/>
        <s v="14655171008"/>
        <s v="17723031005"/>
        <s v="02503170512"/>
        <s v="01606980538"/>
        <s v="02495410561"/>
        <s v="01716400534"/>
        <s v="03972250546"/>
        <s v="01436750473"/>
        <s v="07073680485"/>
        <s v="02423000500"/>
        <s v="09959060964"/>
        <s v="02277970501"/>
        <s v="177230331005"/>
        <s v="12391471005"/>
        <s v="10764071006"/>
        <s v="05102200481"/>
        <s v="02637270972"/>
        <s v="01733550535"/>
        <s v="01472870524"/>
        <s v="03896430968"/>
        <s v="01781850530"/>
        <s v="01985660495"/>
        <s v="01755380530"/>
        <s v="02542830506"/>
        <s v="01942260504"/>
        <s v="07117070487"/>
        <s v="05956220486"/>
        <s v="01774410532"/>
        <s v="02080120476"/>
        <s v="02293620502"/>
        <s v="01662940533"/>
        <s v="02725320465"/>
        <s v="01184020533"/>
        <s v="01714670542"/>
        <s v="02446780971"/>
        <s v="01585950536"/>
        <s v="07221030484"/>
        <s v="91055820483"/>
        <s v="06990620483"/>
        <s v="02646360467"/>
        <s v="17856811009"/>
        <s v="01425140538"/>
        <s v="02536100502"/>
        <s v="01743940973"/>
        <s v="15495891002"/>
        <s v="02559660507"/>
        <s v="01350720528"/>
        <s v="02092740477"/>
        <s v="01661630507"/>
        <s v="16816721001"/>
        <s v="02126300470"/>
        <s v="00939310967"/>
        <s v="02545920502"/>
        <s v="01557500525"/>
        <s v="02407870977"/>
        <s v="92097620519"/>
        <s v="05563851004"/>
        <s v="01541340533"/>
        <s v="0093931096"/>
        <s v="0209090477"/>
        <s v="18286871001"/>
        <s v="06802960481"/>
        <s v="02318010549"/>
        <s v="05337180482"/>
        <s v="07503580487"/>
        <s v="01783070533"/>
        <s v="01837010477"/>
        <s v="97670420153"/>
        <s v="06326230486"/>
        <n v="7.444510486E9"/>
        <n v="2.475180507E9"/>
        <n v="2.545920502E9"/>
        <n v="2.085910475E9"/>
        <n v="1.732790538E9"/>
        <n v="2.437450501E9"/>
        <n v="1.731160535E9"/>
        <n v="2.503170512E9"/>
        <m/>
      </sharedItems>
    </cacheField>
    <cacheField name="ragione sociale" numFmtId="0">
      <sharedItems containsBlank="1">
        <s v="lo gatto"/>
        <s v="t.s.e. di stefanini"/>
        <s v="agricola rrufeja srl"/>
        <s v="meditec"/>
        <s v="azienda agricola mereu"/>
        <s v="abelli marianna"/>
        <s v="g.f. costruzioni srl"/>
        <s v="prestige refitting"/>
        <s v="il faro snc"/>
        <s v="impresa edile di donato"/>
        <s v="tecnoverciatura"/>
        <s v="dimensione suono"/>
        <s v="haj mahmoud abdul"/>
        <s v="urma car di vitali guya"/>
        <s v="al castello"/>
        <s v="edil di furia mirco"/>
        <s v="gjoni matteo"/>
        <s v="francesco ballerini"/>
        <s v="sicari domenico"/>
        <s v="mondo estetica"/>
        <s v="stefano dabizzi"/>
        <s v="obi systemzentrale"/>
        <s v="tachi ejup"/>
        <s v="nicola paszkowski"/>
        <s v="raggio di sole"/>
        <s v="fvm"/>
        <s v="belmonte enrico"/>
        <s v="fralassi srl"/>
        <s v="agrisolari"/>
        <s v="agrial tun di altun ibrahim"/>
        <s v="nicolino rappresentanze sas"/>
        <s v="santini cristiano"/>
        <s v="daniel onyema"/>
        <s v="francesco menichetti"/>
        <s v="adr livorno di renato avallone"/>
        <s v="fratelli lumiere"/>
        <s v="diaferia maria grazia"/>
        <s v="daniele alonzi"/>
        <s v="hbm consulting"/>
        <s v="natade snc"/>
        <s v="eba shkup"/>
        <s v="dottor canapa"/>
        <s v="impresa edile uka"/>
        <s v="agricola alita"/>
        <s v="agricola rrufeja"/>
        <s v="euroedilizia di shaini"/>
        <s v="fralassi federico"/>
        <s v="k.m. design srls"/>
        <s v="flat"/>
        <s v="memoli davide"/>
        <s v="edile attaouia"/>
        <s v="turku ilir"/>
        <s v="renova srls"/>
        <s v="saviozzi nantas mario lamberto"/>
        <s v="dany beauty space"/>
        <s v="cobra dmc"/>
        <s v="studio tecnico geometra"/>
        <s v="gesa computer"/>
        <s v="tuscany zone di tarchiani"/>
        <s v="mazzuoli infissi"/>
        <s v="vee cakery"/>
        <s v="asd fiams"/>
        <s v="vemaflorence "/>
        <s v="to sell di senhua "/>
        <s v="consorzio n.t.i."/>
        <s v="plaza cafe"/>
        <s v="m.i. ditta"/>
        <s v="guarnieri paolo"/>
        <s v="antonio tasillo"/>
        <s v="società agricola pacini"/>
        <s v="b&amp;g"/>
        <s v="pronto service"/>
        <s v="inter gomma"/>
        <s v="fc martorello srls"/>
        <s v="tondi termoidraulica"/>
        <s v="progetto verde"/>
        <s v="giovanni giglio"/>
        <s v="de ryck iris sarah"/>
        <s v="pe lab"/>
        <s v="associazione detto fatto"/>
        <s v="flaminia centro gomme"/>
        <s v="luna morena snc"/>
        <s v="nardini andrea"/>
        <s v="famelico"/>
        <s v="impresa edile gavilli"/>
        <s v="traide movimenti"/>
        <s v="fiorentina negru"/>
        <s v="hua xia sas"/>
        <s v="jaku pllum "/>
        <s v="d'aloisio tiziano"/>
        <s v="deutscher akademischer"/>
        <s v="gisalpel"/>
        <s v="kalma hair stylist"/>
        <s v="samuele guido"/>
        <s v="giglio giovanni"/>
        <s v="la giusa gloria"/>
        <s v="hosteria da cinzia"/>
        <s v="s.a. impianti srls"/>
        <s v="adelina meta"/>
        <m/>
      </sharedItems>
    </cacheField>
    <cacheField name="seriale sim" numFmtId="0">
      <sharedItems containsBlank="1">
        <s v="8939104480049226178"/>
        <s v="8939104480049498637"/>
        <s v="8939104480049499072"/>
        <s v="iphone 17 promax"/>
        <s v="galaxy s25"/>
        <s v="8939104480049226764"/>
        <s v="x cover 7"/>
        <s v="8939104480049305782"/>
        <s v="8939104570029334966"/>
        <s v="8939104570029334974"/>
        <s v="8939104570029457643"/>
        <s v="8939104570029457007"/>
        <s v="8939104570029457635"/>
        <s v="89391044480042977587"/>
        <s v="8939104480042977975"/>
        <s v="8939104480042977637"/>
        <s v="8939104480042978098"/>
        <s v="8939104480042977660"/>
        <s v="8939104480047381884"/>
        <s v="8939104570029457908"/>
        <s v="galaxy a17"/>
        <s v="8939104480049305790"/>
        <s v="8939104480049305774"/>
        <s v="8939104480049305808"/>
        <s v="8939104480049498298"/>
        <s v="8939104480049498314"/>
        <s v="8939104480042977751"/>
        <s v="8939104480042978114"/>
        <s v="8939104480042978122"/>
        <s v="8939104480042976910"/>
        <s v="8939104520028007295"/>
        <s v="8939104480049226160"/>
        <s v="8939104480049227036"/>
        <s v="8939104480049227044"/>
        <s v="8939104480042978106"/>
        <s v="8939104480042977843"/>
        <s v="8939104480047390141"/>
        <s v="8939104480047380746"/>
        <s v="8939104480047382718"/>
        <s v="8939104480047390513"/>
        <s v="8939104480042977066"/>
        <s v="8939104480049227010"/>
        <s v="8939104480049226194"/>
        <s v="8939104480023960271"/>
        <s v="8939104480023959653"/>
        <s v="8939104520044903071"/>
        <s v="8939104480049302888"/>
        <s v="8939104480042976076"/>
        <s v="8939104480042976373"/>
        <s v="8939104480042977983"/>
        <s v="8939104480042977603"/>
        <s v="8939104480042977629"/>
        <s v="8939104480042977140"/>
        <s v="8939104480042977132"/>
        <s v="8939104480042977124"/>
        <s v="8939104480042977116"/>
        <s v="8939104520046276740"/>
        <s v="8939104520046276955"/>
        <s v="8939104520046276963"/>
        <s v="8939104480042978221"/>
        <s v="8939104480042979443"/>
        <s v="8939104480046458154"/>
        <s v="8939104480046458584"/>
        <s v="8939104520046116763"/>
        <s v="iphone 17"/>
        <s v="8939104480049305816"/>
        <s v="8939104520044903121"/>
        <s v="8939104480023960362"/>
        <s v="8939104480023959927"/>
        <s v="8939104520044902743"/>
        <s v="8939104520044903147"/>
        <s v="8939104520044903477"/>
        <s v="8939104480023960396"/>
        <s v="8939104480023959497"/>
        <s v="8939104520044903394"/>
        <s v="z fold "/>
        <s v="8939104520044903410"/>
        <s v="8939104520044902990"/>
        <s v="8939104520044903105"/>
        <s v="8939104480049227143"/>
        <s v="8939104480042976928"/>
        <s v="8939104480042976829"/>
        <s v="8939104480042976803"/>
        <s v="8939104480049226350"/>
        <s v="8939104480042976811"/>
        <s v="8939104480042976795"/>
        <s v="8939104480042976787"/>
        <s v="8939104480042978031"/>
        <s v="8939104480042977892"/>
        <s v="8939104570029334958"/>
        <s v="8939104480049498652"/>
        <s v="8939104480049226426"/>
        <s v="8939104570029334891"/>
        <s v="8939104480042977967"/>
        <s v="8939104480042976779"/>
        <s v="8939104480042977900"/>
        <s v="8939104480049302771"/>
        <s v="8939104480049302763"/>
        <s v="8939104480049302755"/>
        <s v="8939104480049302748"/>
        <s v="8939104480042978460"/>
        <s v="8939104480049302821"/>
        <s v="8939104480042976597"/>
        <s v="8939104480042976605"/>
        <s v="8939104480049305840"/>
        <s v="8939104480042976621"/>
        <s v="8939104480042976548"/>
        <s v="8939104520046277052"/>
        <s v="8939104570029334776"/>
        <s v="8939104570029334768"/>
        <s v="8939104570029334792"/>
        <s v="8939104480042976571"/>
        <s v="8939104480042977157"/>
        <s v="8939104480046458527"/>
        <s v="8939104480046458188"/>
        <s v="8939104570030150187"/>
        <s v="8939104480046458279"/>
        <s v="8939104480042976944"/>
        <s v="8939104570029334743"/>
        <s v="8939104570029334750"/>
        <s v="8939104480049226301"/>
        <s v="8939104480042977108"/>
        <s v="8939104480042976720"/>
        <s v="8939104480046458436"/>
        <s v="8939104480042977074"/>
        <s v="8939104480049226921"/>
        <s v="8939104480049226913"/>
        <s v="galaxy s26"/>
        <s v="galaxy s26 ultra"/>
        <s v="8939104570029457510"/>
        <s v="8939104480023421324"/>
        <s v="8939104570029457866"/>
        <s v="8939104480023421175"/>
        <s v="8939104570029457536"/>
        <s v="8939104480042976712"/>
        <s v="8939104480042978395"/>
        <s v="8939104480042978312"/>
        <s v="8939104480042978411"/>
        <s v="8939104480023420714"/>
        <s v="8939104610004249670"/>
        <s v="8939104520046380047"/>
        <s v="8939104520046380013"/>
        <s v="8939104480047381520"/>
        <s v="8939104480047382650"/>
        <s v="8939104480042977199"/>
        <s v="8939104480042977231"/>
        <s v="8939104480042976654"/>
        <s v="8939104480042976688"/>
        <s v="8939104480042977181"/>
        <s v="8939104570029457874"/>
        <s v="8939104480049305931"/>
        <s v="8939104480042978130"/>
        <s v="8939104480049306210"/>
        <s v="8939104480042977256"/>
        <s v="8939104480042976696"/>
        <s v="8939104480042976662"/>
        <s v="8939104480042977173"/>
        <s v="8939104480042976860"/>
        <s v="8939104480042976878"/>
        <s v="30/03 business si file si esito"/>
        <s v="8939104480042976746"/>
        <s v="8939104480042977207"/>
        <s v="8939104480042976639"/>
        <s v="8939104520046381524"/>
        <s v="8939104520046381516"/>
        <s v="iphone 17 pro"/>
        <s v="8939104480042977884"/>
        <s v="8939104480042977215"/>
        <s v="8939104480042977819"/>
        <s v="8939104480042976852"/>
        <s v="8939104480042976753"/>
        <s v="8939104480042977165"/>
        <s v="8939104480042976670"/>
        <s v="8939104480042977249"/>
        <s v="8939104480042977223"/>
        <s v="8939104480042977264"/>
        <s v="8939104480042976738"/>
        <s v="8939104480042976647"/>
        <s v="8939104480042976894"/>
        <s v="8939104480042979435"/>
        <s v="8939104520046380716"/>
        <s v="8939104570029335492"/>
        <s v="8939104570029335229"/>
        <s v="8939104570029335245"/>
        <s v="iphone 16e"/>
        <s v="8939104480042978643"/>
        <s v="8939104480049306236"/>
        <s v="8939104480049371065"/>
        <s v="8939104480042976225"/>
        <s v="8939104480047390174"/>
        <s v="8939104480023959950"/>
        <s v="8939104480023960255"/>
        <s v="8939104480023960081"/>
        <s v="8939104480046458410"/>
        <s v="8939104480046458576"/>
        <s v="8939104480049371370"/>
        <s v="galaxy s256"/>
        <s v="8939104480049226269"/>
        <s v="8939104480049305873"/>
        <s v="8939104570029457817"/>
        <s v="8939104520044885575"/>
        <s v="8939104480042976183"/>
        <s v="8939104570029457601"/>
        <s v="8939104480049498645"/>
        <m/>
      </sharedItems>
    </cacheField>
    <cacheField name="piano tariffario inserito" numFmtId="0">
      <sharedItems containsBlank="1">
        <s v="fissa fwa5g"/>
        <s v="mobile ob"/>
        <s v="fissa ob"/>
        <s v="easy rent"/>
        <s v="mobile smart"/>
        <s v="mobile comfort "/>
        <s v="fissa smart"/>
        <s v="fissa total wireless"/>
        <s v="mobile red xs"/>
        <s v="fissa comfort"/>
        <m/>
      </sharedItems>
    </cacheField>
    <cacheField name="inserito" numFmtId="165">
      <sharedItems containsDate="1" containsString="0" containsBlank="1">
        <d v="2026-03-01T00:00:00Z"/>
        <d v="2026-03-06T00:00:00Z"/>
        <d v="2026-03-02T00:00:00Z"/>
        <d v="2026-03-03T00:00:00Z"/>
        <d v="2026-03-05T00:00:00Z"/>
        <d v="2026-03-09T00:00:00Z"/>
        <d v="2026-03-27T00:00:00Z"/>
        <d v="2026-03-30T00:00:00Z"/>
        <d v="2026-03-31T00:00:00Z"/>
        <d v="2026-03-19T00:00:00Z"/>
        <d v="2026-03-18T00:00:00Z"/>
        <d v="2026-03-10T00:00:00Z"/>
        <d v="2026-03-11T00:00:00Z"/>
        <d v="2026-03-12T00:00:00Z"/>
        <d v="2026-03-13T00:00:00Z"/>
        <d v="2026-03-15T00:00:00Z"/>
        <d v="2026-03-14T00:00:00Z"/>
        <d v="2026-03-16T00:00:00Z"/>
        <d v="2026-03-17T00:00:00Z"/>
        <d v="2026-03-20T00:00:00Z"/>
        <d v="2026-03-21T00:00:00Z"/>
        <d v="2026-03-22T00:00:00Z"/>
        <d v="2026-03-23T00:00:00Z"/>
        <d v="2026-03-29T00:00:00Z"/>
        <d v="2026-03-24T00:00:00Z"/>
        <d v="2026-03-25T00:00:00Z"/>
        <d v="2026-03-26T00:00:00Z"/>
        <d v="2026-03-28T00:00:00Z"/>
        <m/>
      </sharedItems>
    </cacheField>
    <cacheField name="attivato" numFmtId="164">
      <sharedItems containsDate="1" containsString="0" containsBlank="1">
        <d v="2026-03-02T00:00:00Z"/>
        <d v="2026-03-03T00:00:00Z"/>
        <d v="2026-03-04T00:00:00Z"/>
        <d v="2026-03-06T00:00:00Z"/>
        <d v="2026-03-10T00:00:00Z"/>
        <d v="2026-03-12T00:00:00Z"/>
        <d v="2026-03-05T00:00:00Z"/>
        <d v="2026-03-11T00:00:00Z"/>
        <d v="2026-03-17T00:00:00Z"/>
        <d v="2026-03-09T00:00:00Z"/>
        <d v="2026-03-27T00:00:00Z"/>
        <d v="2026-03-07T00:00:00Z"/>
        <d v="2026-03-31T00:00:00Z"/>
        <d v="2026-03-19T00:00:00Z"/>
        <d v="2026-03-13T00:00:00Z"/>
        <m/>
        <d v="2026-03-16T00:00:00Z"/>
        <d v="2026-03-20T00:00:00Z"/>
        <d v="2026-03-14T00:00:00Z"/>
        <d v="2026-03-24T00:00:00Z"/>
        <d v="2026-03-15T00:00:00Z"/>
        <d v="2026-03-18T00:00:00Z"/>
        <d v="2026-03-21T00:00:00Z"/>
        <d v="2026-03-23T00:00:00Z"/>
        <d v="2026-03-30T00:00:00Z"/>
        <d v="2026-03-26T00:00:00Z"/>
        <d v="2026-03-25T00:00:00Z"/>
        <d v="2026-03-28T00:00:00Z"/>
      </sharedItems>
    </cacheField>
    <cacheField name="pagabile a marzo" numFmtId="0">
      <sharedItems containsBlank="1">
        <s v="sì"/>
        <s v="no"/>
        <m/>
      </sharedItems>
    </cacheField>
    <cacheField name="note" numFmtId="0">
      <sharedItems containsBlank="1">
        <s v="inserito mese precedente"/>
        <m/>
      </sharedItems>
    </cacheField>
    <cacheField name="pt inserito" numFmtId="0">
      <sharedItems containsBlank="1">
        <s v="fissa "/>
        <s v="mobile"/>
        <s v="easy r"/>
        <m/>
      </sharedItems>
    </cacheField>
    <cacheField name="pt attivato" numFmtId="0">
      <sharedItems containsBlank="1">
        <s v="fissa "/>
        <s v="mobile"/>
        <s v="easy r"/>
        <s v="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N200" sheet="febbraio 2026"/>
  </cacheSource>
  <cacheFields>
    <cacheField name="negozio" numFmtId="0">
      <sharedItems containsBlank="1">
        <s v="comet pontedera"/>
        <s v="mw pisa"/>
        <s v="euronics grosseto"/>
        <s v="mw figline "/>
        <s v="mw empoli"/>
        <s v="euronics corciano"/>
        <s v="euronics parco prato"/>
        <s v="mw agliana"/>
        <s v="euronics gavinana"/>
        <s v="mw collestrada"/>
        <s v="euronics montecatini"/>
        <s v="mw gigli"/>
        <m/>
      </sharedItems>
    </cacheField>
    <cacheField name="operatore" numFmtId="0">
      <sharedItems containsBlank="1">
        <s v="Giovanni Giglio"/>
        <s v="Samuele Guido"/>
        <s v="Adelina Meta"/>
        <s v="Serenella Nacci"/>
        <s v="Mariami Iashvili"/>
        <s v="Feris Rahmouni"/>
        <s v="Fabian Sulmina"/>
        <s v="Emiliano Romei"/>
        <s v="Francesco Belmonte"/>
        <s v="Gloria La Giusa"/>
        <s v="Anastasya Radecha"/>
        <s v="David John Gallo"/>
        <m/>
      </sharedItems>
    </cacheField>
    <cacheField name="id pratica" numFmtId="49">
      <sharedItems containsBlank="1">
        <s v="100014637"/>
        <s v="100014443"/>
        <m/>
        <s v="100021923"/>
        <s v="194483806"/>
        <s v="100015579"/>
        <s v="100015683"/>
        <s v="100014951"/>
        <s v="100017211"/>
        <s v="100017619"/>
        <s v="100019653"/>
        <s v="100020131"/>
        <s v="100020677"/>
        <s v="100019871"/>
        <s v="100022683"/>
        <s v="100022211"/>
        <s v="100020117"/>
        <s v="100020793"/>
        <s v="100020843"/>
        <s v="100023547"/>
        <s v="100026691"/>
        <s v="100028287"/>
        <s v="100025099"/>
        <s v="100027983"/>
        <s v="100028215"/>
        <s v="100025535"/>
        <s v="100026785"/>
        <s v="100026873"/>
        <s v="194488608"/>
        <s v="100036277"/>
        <s v="100029757"/>
        <s v="100033953"/>
        <s v="194493998"/>
        <s v="194494038"/>
        <s v="100041569"/>
        <s v="100032015"/>
        <s v="100035331"/>
        <s v="100035649"/>
        <s v="100036399"/>
        <s v="100036603"/>
        <s v="100036571"/>
        <s v="194494330"/>
        <s v="1000376607"/>
        <s v="100037859"/>
        <s v="10003695"/>
        <s v="100003219"/>
        <s v="100001325"/>
        <s v="100041615"/>
        <s v="100041533"/>
        <s v="100012721"/>
        <s v="100011961"/>
        <s v="100026925"/>
        <s v="100043227"/>
        <s v="100045259"/>
        <s v="100044993"/>
      </sharedItems>
    </cacheField>
    <cacheField name="partita iva" numFmtId="49">
      <sharedItems containsBlank="1">
        <s v="01351670508"/>
        <s v="02562700506"/>
        <s v="01733550535"/>
        <s v="01719570531"/>
        <s v="01759950536"/>
        <s v="01554100519"/>
        <s v="02166470977"/>
        <s v="03071660546"/>
        <s v="02920840424"/>
        <s v="02229670506"/>
        <s v="02494170505"/>
        <s v="02462680501"/>
        <s v="04754900480"/>
        <s v="05725790488"/>
        <s v="03708980549"/>
        <s v="01747260535"/>
        <s v="01508590476"/>
        <s v="01851550481"/>
        <s v="07206490489"/>
        <s v="05102200481"/>
        <s v="01191480480"/>
        <s v="02442470973"/>
        <s v="07526230482"/>
        <s v="04449300484"/>
        <s v="01378390536"/>
        <s v="00656290541"/>
        <s v="02279130500"/>
        <s v="02503030500"/>
        <s v="07369990481"/>
        <s v="07037530487"/>
        <s v="01876880475"/>
        <s v="01592270530"/>
        <s v="01679550531"/>
        <s v="02433350507"/>
        <s v="02487530517"/>
        <s v="01113970501"/>
        <s v="03484740547"/>
        <s v="03472620487"/>
        <s v="05900470484"/>
        <s v="04021220548"/>
        <s v="03793890546"/>
        <s v="02122220508"/>
        <s v="01730890504"/>
        <s v="02647530977"/>
        <s v="06443660482"/>
        <s v="06441900484"/>
        <m/>
      </sharedItems>
    </cacheField>
    <cacheField name="ragione sociale" numFmtId="0">
      <sharedItems containsBlank="1">
        <s v="ma.ge. edilizia in genere"/>
        <s v="4m srl"/>
        <s v="eba shkup"/>
        <s v="impresa aldo di hila"/>
        <s v="terra viva di maken naeem huss"/>
        <s v="frigo clima"/>
        <s v="sun miniato di corti carlo &amp; c"/>
        <s v="azienda agricola gori maria pa"/>
        <s v="all easy di vetere davide"/>
        <s v="carrozzeria la capannina"/>
        <s v="01 tuscany experience"/>
        <s v="giuntini group srl"/>
        <s v="filarmonica baldassarre"/>
        <s v="fuori di testa di masselli e b"/>
        <s v="rahmouni feris"/>
        <s v="ps. srls"/>
        <s v="dembi s.n.c. di de michele car"/>
        <s v="riccardo nesti"/>
        <s v="podere capiglia s.s. agricola"/>
        <s v="hbm consulting"/>
        <s v="cooperativa unitaria invalidi"/>
        <s v="wainer berardicurti"/>
        <s v="simone safina"/>
        <s v="dr. claudio calabrese"/>
        <s v="olivagnoli cristiana"/>
        <s v="biesse di alfio mattiacci"/>
        <s v="mps imprese sociale srl"/>
        <s v="tenuta borgo al sole"/>
        <s v="good srl"/>
        <s v="raipel srl"/>
        <s v="azienda agricola"/>
        <s v="kaleidos cafe"/>
        <s v="agricola rrufeja srl"/>
        <s v="elettrica it"/>
        <s v="francesco belmonte"/>
        <s v="biesse di alfio mattiacci s.a."/>
        <s v="immobiliare giada snc"/>
        <s v="azienda agricola mereu"/>
        <s v="errebi"/>
        <s v="incastonature pietre preziose"/>
        <s v="dzhaman oleksandr"/>
        <s v="lestini mattia"/>
        <s v="moretotrade"/>
        <s v="edil fab"/>
        <s v="quadro edilizia integrata"/>
        <s v="lo gatto"/>
        <s v="casini cinofilia"/>
        <s v="dr claudio "/>
        <m/>
      </sharedItems>
    </cacheField>
    <cacheField name="seriale sim" numFmtId="0">
      <sharedItems containsBlank="1">
        <s v="8939104480023421639"/>
        <s v="8939104480049498587"/>
        <s v="8939104480049498579"/>
        <s v="8939104480049498561"/>
        <s v="8939104480042977553"/>
        <s v="8939104480042977793"/>
        <s v="8939108630004855488"/>
        <s v="8939104480042977827"/>
        <s v="8939104480049226988"/>
        <s v="8939104570029355748"/>
        <s v="8939104480042979625"/>
        <s v="8939104480042978650"/>
        <s v="8939104480042976985"/>
        <s v="8939104480023421522"/>
        <s v="8939104480049498611"/>
        <s v="8939104480049498629"/>
        <s v="8939104570029457684"/>
        <s v="8939104480049226277"/>
        <s v="8939104480049226509"/>
        <s v="8939104480042978536"/>
        <s v="8939104480042977850"/>
        <s v="8939104480042977868"/>
        <s v="8939104480042977835"/>
        <s v="8939104480042977942"/>
        <s v="8939104480047390570"/>
        <s v="8939104480047389499"/>
        <s v="8939104480042978759"/>
        <s v="8939104480049226491"/>
        <s v="8939104480049226517"/>
        <s v="8939104480049226525"/>
        <s v="89391044480042976936"/>
        <s v="8939104480042977082"/>
        <s v="8939104480042977058"/>
        <s v="8939104480042976969"/>
        <s v="8939104480049371206"/>
        <s v="8939104480049371123"/>
        <s v="8939104480042977678"/>
        <s v="8939104480042977959"/>
        <s v="8939104480042977926"/>
        <s v="8939104480042977934"/>
        <s v="8939104480042977579"/>
        <s v="8939104520028006255"/>
        <s v="8939104570029457650"/>
        <s v="8939104570029457338"/>
        <s v="8939104480046458311"/>
        <s v="8939104480042977009"/>
        <s v="8939104480042979476"/>
        <s v="8939104480042978247"/>
        <s v="8939104480042979492"/>
        <s v="8939104480042978288"/>
        <s v="8939104480047389275"/>
        <s v="8939104480047381066"/>
        <s v="8939104480042977876"/>
        <s v="galaxy s25"/>
        <s v="iphone 17 promax"/>
        <s v="8939104480049498694"/>
        <s v="8939104480049498769"/>
        <s v="8939104520028007527"/>
        <s v="8939104520028007535"/>
        <s v="8939104520028006859"/>
        <s v="8939104480046458501"/>
        <s v="8939104520028006024"/>
        <s v="xcover 7"/>
        <s v="iphone 17 pro"/>
        <s v="8939104520028006057"/>
        <s v="8939104480042980599"/>
        <s v="8939104480049498728"/>
        <s v="8939104570029457676"/>
        <s v="8939104570029334859"/>
        <s v="8939104480049226178"/>
        <s v="8939104480049226152"/>
        <m/>
      </sharedItems>
    </cacheField>
    <cacheField name="piano tariffario inserito" numFmtId="0">
      <sharedItems containsBlank="1">
        <s v="mobile smart"/>
        <s v="fissa fwa5g"/>
        <s v="mobile ob"/>
        <s v="fissa ob"/>
        <s v="mobile comfort "/>
        <s v="fissa smart"/>
        <s v="fissa total wireless"/>
        <s v="easy rent"/>
        <s v="fissa comfort"/>
        <m/>
      </sharedItems>
    </cacheField>
    <cacheField name="inserito" numFmtId="165">
      <sharedItems containsDate="1" containsString="0" containsBlank="1">
        <d v="2026-02-03T00:00:00Z"/>
        <d v="2026-02-10T00:00:00Z"/>
        <d v="2026-02-04T00:00:00Z"/>
        <d v="2026-02-05T00:00:00Z"/>
        <d v="2026-02-06T00:00:00Z"/>
        <d v="2026-02-08T00:00:00Z"/>
        <d v="2026-02-09T00:00:00Z"/>
        <d v="2026-02-07T00:00:00Z"/>
        <d v="2026-02-11T00:00:00Z"/>
        <d v="2026-02-13T00:00:00Z"/>
        <d v="2026-02-15T00:00:00Z"/>
        <d v="2026-02-12T00:00:00Z"/>
        <d v="2026-02-14T00:00:00Z"/>
        <d v="2026-02-20T00:00:00Z"/>
        <d v="2026-02-16T00:00:00Z"/>
        <d v="2026-02-19T00:00:00Z"/>
        <d v="2026-02-18T00:00:00Z"/>
        <d v="2026-02-25T00:00:00Z"/>
        <d v="2026-02-21T00:00:00Z"/>
        <d v="2026-02-23T00:00:00Z"/>
        <d v="2026-02-01T00:00:00Z"/>
        <d v="2026-02-02T00:00:00Z"/>
        <d v="2026-02-26T00:00:00Z"/>
        <d v="2026-02-27T00:00:00Z"/>
        <m/>
      </sharedItems>
    </cacheField>
    <cacheField name="attivato" numFmtId="164">
      <sharedItems containsDate="1" containsString="0" containsBlank="1">
        <d v="2026-02-03T00:00:00Z"/>
        <d v="2026-02-04T00:00:00Z"/>
        <d v="2026-02-12T00:00:00Z"/>
        <d v="2026-02-20T00:00:00Z"/>
        <d v="2026-02-05T00:00:00Z"/>
        <d v="2026-02-06T00:00:00Z"/>
        <d v="2026-02-09T00:00:00Z"/>
        <d v="2026-02-10T00:00:00Z"/>
        <d v="2026-02-11T00:00:00Z"/>
        <d v="2026-02-17T00:00:00Z"/>
        <d v="2026-02-16T00:00:00Z"/>
        <d v="2026-02-14T00:00:00Z"/>
        <d v="2026-02-13T00:00:00Z"/>
        <d v="2026-02-21T00:00:00Z"/>
        <d v="2026-02-19T00:00:00Z"/>
        <d v="2026-02-23T00:00:00Z"/>
        <d v="2026-02-28T00:00:00Z"/>
        <m/>
        <d v="2026-02-24T00:00:00Z"/>
        <d v="2026-02-25T00:00:00Z"/>
        <d v="2026-02-26T00:00:00Z"/>
        <d v="2026-02-02T00:00:00Z"/>
        <d v="2026-02-01T00:00:00Z"/>
        <d v="2026-02-27T00:00:00Z"/>
      </sharedItems>
    </cacheField>
    <cacheField name="pagabile a febbraio" numFmtId="0">
      <sharedItems containsBlank="1">
        <s v="sì"/>
        <s v="no"/>
        <m/>
      </sharedItems>
    </cacheField>
    <cacheField name="note" numFmtId="0">
      <sharedItems containsString="0" containsBlank="1">
        <m/>
      </sharedItems>
    </cacheField>
    <cacheField name="pt inserito" numFmtId="0">
      <sharedItems>
        <s v="mobile"/>
        <s v="fissa "/>
        <s v="easy r"/>
        <s v=""/>
      </sharedItems>
    </cacheField>
    <cacheField name="pt attivato" numFmtId="0">
      <sharedItems>
        <s v="mobile"/>
        <s v="fissa "/>
        <s v=""/>
        <s v="easy r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N200" sheet="gennaio 2026"/>
  </cacheSource>
  <cacheFields>
    <cacheField name="negozio" numFmtId="0">
      <sharedItems containsBlank="1">
        <s v="euronics grosseto"/>
        <s v="euronics corciano"/>
        <s v="mw roma (porta di)"/>
        <s v="mw pisa"/>
        <s v="euronics gavinana"/>
        <s v="mw figline "/>
        <s v="mw empoli"/>
        <s v="euronics parco prato"/>
        <s v="comet pontedera"/>
        <s v="mw gigli"/>
        <s v="mw collestrada"/>
        <s v="mw roma est"/>
        <m/>
      </sharedItems>
    </cacheField>
    <cacheField name="operatore" numFmtId="0">
      <sharedItems containsBlank="1">
        <s v="Adelina Meta"/>
        <s v="Feris Rahmouni"/>
        <s v="Simona Cucu"/>
        <s v="Anastasya Radecha"/>
        <s v="Samuele Guido"/>
        <s v="Emiliano Romei"/>
        <s v="Serenella Nacci"/>
        <s v="Mariami Iashvili"/>
        <s v="Matteo Stefanelli"/>
        <s v="Fabian Sulmina"/>
        <s v="Giovanni Giglio"/>
        <s v="Gloria La Giusa"/>
        <s v="David John Gallo"/>
        <s v="Barbara Mattiacci"/>
        <s v="Nicole Gamboa"/>
        <s v="Silvia Saglimbeni"/>
        <m/>
      </sharedItems>
    </cacheField>
    <cacheField name="id pratica" numFmtId="49">
      <sharedItems containsBlank="1">
        <s v="99977421"/>
        <m/>
        <s v="99980569"/>
        <s v="99980689"/>
        <s v="99980745"/>
        <s v="99980991"/>
        <s v="99981003"/>
        <s v="99981855"/>
        <s v="99981909"/>
        <s v="99982629"/>
        <s v="99983227"/>
        <s v="99980755"/>
        <s v="99981031"/>
        <s v="99981053"/>
        <s v="99980431"/>
        <s v="99980535"/>
        <s v="99980763"/>
        <s v="99979617"/>
        <s v="99980323"/>
        <s v="99980461"/>
        <s v="99980469"/>
        <s v="99983177"/>
        <s v="99983823"/>
        <s v="99980219"/>
        <s v="99980225"/>
        <s v="99980601"/>
        <s v="99980727"/>
        <s v="99984023"/>
        <s v="99985175"/>
        <s v="99985177"/>
        <s v="99985341"/>
        <s v="194435744"/>
        <s v="194435746"/>
        <s v="99985367"/>
        <s v="99985579"/>
        <s v="99988079"/>
        <s v="99974897"/>
        <s v="99965229"/>
        <s v="99967303"/>
        <s v="99956243"/>
        <s v="99971149"/>
        <s v="99960731"/>
        <s v="99961311"/>
        <s v="99961165"/>
        <s v="99987377"/>
        <s v="99986713"/>
        <s v="99987251"/>
        <s v="99987305"/>
        <s v="194434924"/>
        <s v="99990115"/>
        <s v="99991337"/>
        <s v="194426710"/>
        <s v="99973871"/>
        <s v="99993045"/>
        <s v="99992651"/>
        <s v="99992657"/>
        <s v="99993307"/>
        <s v="99993453"/>
        <s v="99994067"/>
        <s v="99995127"/>
        <s v="99995115"/>
        <s v="99996191"/>
        <s v="99996505"/>
        <s v="194458870"/>
        <s v="99999387"/>
        <s v="99997113"/>
        <s v="99997533"/>
        <s v="100001763"/>
        <s v="194460580"/>
        <s v="99998149"/>
        <s v="99998599"/>
        <s v="100000475"/>
        <s v="99999715"/>
        <s v="99999771"/>
        <s v="100000363"/>
        <s v="100001123"/>
        <s v="100001325"/>
        <s v="100001311"/>
        <s v="100004811"/>
        <s v="100005429"/>
        <s v="100003219"/>
        <s v="100002005"/>
        <s v="100001789"/>
        <s v="100001817"/>
        <s v="100002029"/>
        <s v="100001843"/>
        <s v="100002045"/>
        <s v="100001777"/>
        <s v="100001703"/>
        <s v="100002027"/>
        <s v="194466528"/>
        <s v="194466530"/>
        <s v="194466532"/>
        <s v="100003063"/>
        <s v="100003061"/>
        <s v="100006411"/>
        <s v="100003395"/>
        <s v="100003695"/>
        <s v="100005371"/>
        <s v="100004603"/>
        <s v="100006739"/>
        <s v="100007153"/>
        <s v="100008207"/>
        <s v="100008913"/>
        <s v="100008857"/>
        <s v="100008387"/>
        <s v="100011221"/>
        <s v="100010611"/>
        <s v="100010241"/>
        <s v="100010211"/>
        <s v="100011009"/>
      </sharedItems>
    </cacheField>
    <cacheField name="partita iva" numFmtId="49">
      <sharedItems containsBlank="1">
        <s v="04010200246"/>
        <s v="15263901009"/>
        <s v="00912110533"/>
        <s v="03708980549"/>
        <s v="01750240531"/>
        <s v="09814040581"/>
        <s v="06825401000"/>
        <s v="12559111005"/>
        <s v="02068290507"/>
        <s v="01875260505"/>
        <s v="02021750506"/>
        <s v="03900900485"/>
        <s v="02239600485"/>
        <s v="02393360512"/>
        <s v="02255470482"/>
        <s v="05500590483"/>
        <s v="05864810485"/>
        <s v="07414820485"/>
        <s v="02491160970"/>
        <s v="01936050978"/>
        <s v="0246280501"/>
        <s v="02074690500"/>
        <s v="04070270485"/>
        <s v="02623510977"/>
        <s v="01681870976"/>
        <s v="01629300532"/>
        <s v="01629840511"/>
        <s v="01554860534"/>
        <s v="00787610534"/>
        <s v="01679550531"/>
        <s v="01911050464"/>
        <s v="10081141219"/>
        <s v="04529070486"/>
        <s v="07493210483"/>
        <s v="02045070477"/>
        <s v="05316160653"/>
        <s v="13989361004"/>
        <s v="02120260506"/>
        <s v="02270460500"/>
        <s v="05971431001"/>
        <s v="06318310486"/>
        <s v="13009020010"/>
        <s v="03049960549"/>
        <s v="01730520093"/>
        <s v="07194760489"/>
        <s v="02037620503"/>
        <s v="18030201000"/>
        <s v="13437571006"/>
        <s v="03772630483"/>
        <s v="01479740530"/>
        <s v="01472430535"/>
        <s v="01719570531"/>
        <s v="01726270539"/>
        <s v="01754420535"/>
        <s v="01794670503"/>
        <s v="02608050460"/>
        <s v="01989030505"/>
        <s v="02277970501"/>
        <s v="04195450921"/>
        <s v="05900470484"/>
        <s v="17048841005"/>
        <s v="06057560481"/>
        <s v="02511760502"/>
        <s v="03793890546"/>
        <s v="03215210547"/>
        <s v="01579110535"/>
        <s v="01871220974"/>
        <s v="07020070483"/>
        <s v="18204441002"/>
        <s v="07172760485"/>
        <s v="01654660537"/>
        <s v="01592270530"/>
        <s v="01966540500"/>
        <s v="03472620487"/>
        <s v="14335831005"/>
        <s v="06153840878"/>
        <s v="16879941009"/>
        <s v="02539060505"/>
        <s v="03505851000"/>
        <s v="06910400487"/>
        <s v="02563660501"/>
        <s v="070200704083"/>
        <m/>
      </sharedItems>
    </cacheField>
    <cacheField name="ragione sociale" numFmtId="0">
      <sharedItems containsBlank="1">
        <s v="francesco silvestrin"/>
        <s v="lucci mario ludovico"/>
        <s v="coen angelo"/>
        <s v="rahmouni feris"/>
        <s v="alam md jahanger"/>
        <s v="rolando todaro"/>
        <s v="antonella luzi"/>
        <s v="anello di re salomone"/>
        <s v="duka andi bar l'antico"/>
        <s v="urma car di vitali guya"/>
        <s v="studio tecnico geom. mirko"/>
        <s v="luca signorini"/>
        <s v="moda e hair di nolano"/>
        <s v="danesi cesare"/>
        <s v="conti massimiliano"/>
        <s v="alessio falchetti"/>
        <s v="dexa service di francioni"/>
        <s v="auto service center"/>
        <s v="multitransport soc.cooperativa"/>
        <s v="luce cooperativa sociale"/>
        <s v="giuntini group srl"/>
        <s v="gf ambiente srl"/>
        <s v="setti fabrizio studio tecnico"/>
        <s v="goldenki srl"/>
        <s v="collini catia"/>
        <s v="totti fiorella"/>
        <s v="daniele viticchi"/>
        <s v="ferretti roberta"/>
        <s v="sogebaro snc"/>
        <s v="agricola rrufeja srl"/>
        <s v="adv &amp; com di fabio perrone"/>
        <s v="rgcostruzioni srl"/>
        <s v="francesco ballerini"/>
        <s v="flagothier catherine anne evel"/>
        <s v="noa group s.r.l.s."/>
        <s v="agriturismo la sfruscia resort"/>
        <s v="fgf parrucchieri srls"/>
        <s v="studio tecnico pardini"/>
        <s v="tuscania costruzioni srl"/>
        <s v="torre della osa srl"/>
        <s v="pagliazzi mauro"/>
        <s v="anna street srl"/>
        <s v="gaetano rota"/>
        <s v="piazza federico"/>
        <s v="lo stile di klo"/>
        <s v="vaccaro emilia"/>
        <s v="bensidi zine el abbidine"/>
        <s v="davide grimaldi"/>
        <s v="di. domenico fanto'"/>
        <s v="ecoteti srl"/>
        <s v="ottaviani manuela"/>
        <s v="impresa aldo di hila gjergj"/>
        <s v="tachi ejup"/>
        <s v="scavi &amp; servizi av"/>
        <s v="scavi &amp; servizi av ottaviani manuela"/>
        <s v="maria liberti"/>
        <s v="cortopassi martina"/>
        <s v="roberto scamuzzi"/>
        <s v="fratelli lumiere"/>
        <s v="enjoy srls"/>
        <s v="incastonatore pietre preziose"/>
        <s v="musy valeria"/>
        <s v="c.a. ditta"/>
        <s v="pierotti ing. francesco"/>
        <s v="lestini mattia"/>
        <s v="fabrizio bacianini"/>
        <s v="azienda agricola il podere"/>
        <s v="cristian cuttano"/>
        <s v="matteo mugnai"/>
        <s v="gamboa ramirez nicole dayana"/>
        <s v="mighty"/>
        <s v="istanbul pizzeria kebab"/>
        <s v="kaleidos cafe"/>
        <s v="penso giuseppe"/>
        <s v="errebi"/>
        <s v="musy simone"/>
        <s v="noa group srls"/>
        <s v="pm pallets di pappalardo mauri"/>
        <s v="dott.ssa eleonora scotti"/>
        <s v="silvia saglimbeni"/>
        <s v="gridi"/>
        <s v="nastro raffaella"/>
        <s v="davide john gallo"/>
        <m/>
      </sharedItems>
    </cacheField>
    <cacheField name="seriale sim" numFmtId="0">
      <sharedItems containsBlank="1">
        <s v="8939104480042979724"/>
        <s v="8939104480042980193"/>
        <s v="8939104480042980557"/>
        <s v="8939104480042980573"/>
        <s v="8939104480042979997"/>
        <s v="8939104480023585169"/>
        <s v="8939104480042980037"/>
        <s v="8939104480042978577"/>
        <s v="8939104480042978668"/>
        <s v="8939104480042979831"/>
        <s v="8939104480042980078"/>
        <s v="8939104480042980276"/>
        <s v="8939104480042971259"/>
        <s v="8939104480042980367"/>
        <s v="8939104480042979773"/>
        <s v="8939104480042980011"/>
        <s v="8939104480042979807"/>
        <s v="8939104480042980060"/>
        <s v="8939104480042980326"/>
        <s v="8939104480042980375"/>
        <s v="8939104480042977801"/>
        <s v="8939104480042980235"/>
        <s v="8939104480023960438"/>
        <s v="iphone 17"/>
        <s v="8939104520044903428"/>
        <s v="8939104520044903089"/>
        <s v="8939104480049498272"/>
        <s v="8939104480049498264"/>
        <s v="8939104480049498280"/>
        <s v="8939104480049498793"/>
        <s v="8939104480049498306"/>
        <s v="8939104480049498322"/>
        <s v="8939104480042978692"/>
        <s v="89391044800429227101"/>
        <s v="8939104480042978700"/>
        <s v="8939104480042978718"/>
        <s v="8939104480042980441"/>
        <s v="8939104480042979716"/>
        <s v="8939104480046458469"/>
        <s v="8939104480046458485"/>
        <s v="8939104570030148389"/>
        <s v="8939104480042977439"/>
        <s v="8939104480042977405"/>
        <s v="8939104480042977421"/>
        <s v="8939104480042977330"/>
        <s v="8939104480042977322"/>
        <s v="8939104480042977355"/>
        <s v="8939104480023421654"/>
        <s v="8939104480023421605"/>
        <s v="8939104480023420748"/>
        <s v="8939104570029457775"/>
        <s v="8939104480023420896"/>
        <s v="8939104480023421241"/>
        <s v="8939104570030150344"/>
        <s v="8939104480042977348"/>
        <s v="8939104480042977397"/>
        <s v="8939104480042977454"/>
        <s v="galaxy s25 ultra"/>
        <s v="8939104570029334552"/>
        <s v="iphone 17 promax"/>
        <s v="iphone 17 pro"/>
        <s v="galaxy s25"/>
        <s v="galaxy a56"/>
        <s v="8939104480042978742"/>
        <s v="8939104570029334545"/>
        <s v="8939104480042979708"/>
        <s v="8939104480042978775"/>
        <s v="8939104480049499106"/>
        <s v="8939104480049499114"/>
        <s v="8939104520044903014"/>
        <s v="8939104520044903295"/>
        <s v="8939104520044903311"/>
        <s v="8939104520044902784"/>
        <s v="8939104480049498470"/>
        <s v="8939104480049498389"/>
        <s v="8939104480049499221"/>
        <s v="8939104480049498249"/>
        <s v="8939104480049499171"/>
        <s v="8939104480049499213"/>
        <s v="8939104480049498520"/>
        <s v="8939104480023959547"/>
        <s v="8939104480023851033"/>
        <s v="8939104480049226210"/>
        <s v="8939104480049226228"/>
        <s v="8939104570029355649"/>
        <s v="8939104570030150153"/>
        <s v="8939104570029355797"/>
        <s v="8939104520028006750"/>
        <s v="8939104570029334537"/>
        <s v="iphone 16e"/>
        <s v="8939104480049227069"/>
        <s v="8939104480049227077"/>
        <s v="8939104480049498538"/>
        <s v="8939104480023960537"/>
        <s v="8939104480023850951"/>
        <s v="8939104480023960602"/>
        <s v="893910448002360008"/>
        <s v="893910448002350639"/>
        <s v="893910448002395912"/>
        <s v="8939104480023960073"/>
        <s v="8939104480023959208"/>
        <s v="8939104480023959711"/>
        <s v="8939104610003189240"/>
        <s v="8939104480023960248"/>
        <s v="8939104480023959836"/>
        <s v="8939104480023959596"/>
        <s v="8939104480023959844"/>
        <s v="8939104480046458220"/>
        <s v="8939104480042977595"/>
        <s v="8939104480042978007"/>
        <s v="8939104480042977991"/>
        <s v="8939104480042977777"/>
        <s v="8939104480042978080"/>
        <s v="8939104480042978023"/>
        <s v="8939104480042977918"/>
        <s v="8939104480042977561"/>
        <s v="8939104480042978015"/>
        <s v="8939104480023959398"/>
        <s v="8939104480023959406"/>
        <s v="8939104480049498504"/>
        <s v="8939104480049498496"/>
        <s v="8939104480049498850"/>
        <s v="8939104480049498868"/>
        <s v="8939104570030149312"/>
        <s v="8939104570030150211"/>
        <s v="8939104570029355995"/>
        <s v="8939104480042978544"/>
        <s v="8939104480042978551"/>
        <s v="8939104480023960495"/>
        <s v="8939104480023851017"/>
        <s v="8939104480046458535"/>
        <s v="8939104570030149452"/>
        <s v="8939104480049498397"/>
        <s v="8939104480049498884"/>
        <s v="8939104480049498876"/>
        <s v="8939104480049498488"/>
        <s v="8939104520028006495"/>
        <s v="8939104480042978510"/>
        <s v="8939104480042978502"/>
        <s v="8939104480042977769"/>
        <s v="8939104480042978072"/>
        <s v="8939104480042977462"/>
        <s v="8939104480042978767"/>
        <s v="8939104520028006354"/>
        <s v="8939104520044902552"/>
        <s v="8939104570030153751"/>
        <s v="8939104520044902321"/>
        <s v="8939104480042996293"/>
        <s v="8939104480042978064"/>
        <s v="8939104480042978049"/>
        <s v="8939104480042978056"/>
        <s v="8939104480049498413"/>
        <s v="8939104480023851116"/>
        <s v="8939104480042977389"/>
        <s v="8939104480049499007"/>
        <s v="8939104480049226434"/>
        <s v="8939104480049226244"/>
        <s v="8939104480023960214"/>
        <s v="8939104480023959661"/>
        <s v="8939104480042977306"/>
        <s v="8939104480023959232"/>
        <s v="8939104570029334297"/>
        <s v="8939104570029334305"/>
        <s v="8939104570029334388"/>
        <s v="8939104570029334511"/>
        <s v="8939104480042978791"/>
        <m/>
      </sharedItems>
    </cacheField>
    <cacheField name="piano tariffario inserito" numFmtId="0">
      <sharedItems containsBlank="1">
        <s v="mobile ob"/>
        <s v="fissa ob"/>
        <s v="mobile comfort "/>
        <s v="mobile smart"/>
        <s v="easy rent"/>
        <s v="fissa smart"/>
        <s v="fissa comfort"/>
        <s v="fissa total wireless"/>
        <s v="fissa fwa5g"/>
        <m/>
      </sharedItems>
    </cacheField>
    <cacheField name="inserito" numFmtId="165">
      <sharedItems containsDate="1" containsString="0" containsBlank="1">
        <d v="2026-01-01T00:00:00Z"/>
        <d v="2026-01-05T00:00:00Z"/>
        <d v="2026-01-06T00:00:00Z"/>
        <d v="2026-01-07T00:00:00Z"/>
        <d v="2026-01-08T00:00:00Z"/>
        <d v="2026-01-04T00:00:00Z"/>
        <d v="2026-01-02T00:00:00Z"/>
        <d v="2026-01-09T00:00:00Z"/>
        <d v="2026-01-03T00:00:00Z"/>
        <d v="2026-01-10T00:00:00Z"/>
        <d v="2026-01-13T00:00:00Z"/>
        <d v="2026-01-11T00:00:00Z"/>
        <d v="2026-01-12T00:00:00Z"/>
        <d v="2026-01-14T00:00:00Z"/>
        <d v="2026-01-15T00:00:00Z"/>
        <d v="2026-01-16T00:00:00Z"/>
        <d v="2026-01-17T00:00:00Z"/>
        <d v="2026-01-19T00:00:00Z"/>
        <d v="2026-01-20T00:00:00Z"/>
        <d v="2026-01-22T00:00:00Z"/>
        <d v="2026-01-21T00:00:00Z"/>
        <d v="2026-01-24T00:00:00Z"/>
        <d v="2026-01-23T00:00:00Z"/>
        <d v="2026-01-27T00:00:00Z"/>
        <d v="2026-01-26T00:00:00Z"/>
        <d v="2026-01-25T00:00:00Z"/>
        <d v="2026-01-28T00:00:00Z"/>
        <d v="2026-01-29T00:00:00Z"/>
        <d v="2026-01-30T00:00:00Z"/>
        <m/>
      </sharedItems>
    </cacheField>
    <cacheField name="attivato" numFmtId="164">
      <sharedItems containsDate="1" containsString="0" containsBlank="1">
        <d v="2026-01-02T00:00:00Z"/>
        <d v="2026-01-05T00:00:00Z"/>
        <d v="2026-01-07T00:00:00Z"/>
        <d v="2026-01-08T00:00:00Z"/>
        <d v="2026-01-09T00:00:00Z"/>
        <d v="2026-01-21T00:00:00Z"/>
        <d v="2026-01-06T00:00:00Z"/>
        <d v="2026-01-04T00:00:00Z"/>
        <d v="2026-01-03T00:00:00Z"/>
        <d v="2026-01-12T00:00:00Z"/>
        <d v="2026-01-10T00:00:00Z"/>
        <d v="2026-01-15T00:00:00Z"/>
        <d v="2026-01-27T00:00:00Z"/>
        <d v="2026-01-14T00:00:00Z"/>
        <d v="2026-01-13T00:00:00Z"/>
        <m/>
        <d v="2026-01-20T00:00:00Z"/>
        <d v="2026-01-16T00:00:00Z"/>
        <d v="2026-01-17T00:00:00Z"/>
        <d v="2026-01-31T00:00:00Z"/>
        <d v="2026-01-19T00:00:00Z"/>
        <d v="2026-01-23T00:00:00Z"/>
        <d v="2026-01-22T00:00:00Z"/>
        <d v="2026-01-26T00:00:00Z"/>
        <d v="2026-01-28T00:00:00Z"/>
        <d v="2026-01-24T00:00:00Z"/>
        <d v="2026-01-25T00:00:00Z"/>
        <d v="2026-01-30T00:00:00Z"/>
        <d v="2026-01-29T00:00:00Z"/>
      </sharedItems>
    </cacheField>
    <cacheField name="pagabile a gennaio" numFmtId="0">
      <sharedItems containsBlank="1">
        <s v="sì"/>
        <s v="no"/>
        <m/>
      </sharedItems>
    </cacheField>
    <cacheField name="note" numFmtId="0">
      <sharedItems containsBlank="1">
        <s v="inserito mese precedente"/>
        <m/>
      </sharedItems>
    </cacheField>
    <cacheField name="pt inserito" numFmtId="0">
      <sharedItems>
        <s v="mobile"/>
        <s v="fissa "/>
        <s v="easy r"/>
        <s v=""/>
      </sharedItems>
    </cacheField>
    <cacheField name="pt attivato" numFmtId="0">
      <sharedItems>
        <s v="mobile"/>
        <s v="fissa "/>
        <s v="easy r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 aprile 2026" cacheId="0" dataCaption="" compact="0" compactData="0">
  <location ref="B7:D10" firstHeaderRow="0" firstDataRow="2" firstDataCol="0"/>
  <pivotFields>
    <pivotField name="negoz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pera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d pratic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partita iv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ragione soci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eriale s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piano tariffario inseri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seri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ttivat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agabile ad aprile" compact="0" outline="0" multipleItemSelectionAllowed="1" showAll="0">
      <items>
        <item x="0"/>
        <item x="1"/>
        <item t="default"/>
      </items>
    </pivotField>
    <pivotField name="note" compact="0" outline="0" multipleItemSelectionAllowed="1" showAll="0">
      <items>
        <item x="0"/>
        <item x="1"/>
        <item t="default"/>
      </items>
    </pivotField>
    <pivotField name="pt inserito" axis="axisRow" compact="0" outline="0" multipleItemSelectionAllowed="1" showAll="0" sortType="ascending">
      <items>
        <item h="1" x="2"/>
        <item h="1" x="3"/>
        <item x="0"/>
        <item x="1"/>
        <item t="default"/>
      </items>
    </pivotField>
    <pivotField name="pt attivat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1"/>
  </rowFields>
  <colFields>
    <field x="-2"/>
  </colFields>
  <dataFields>
    <dataField name="COUNTA of piano tariffario inserito" fld="6" subtotal="count" baseField="0"/>
    <dataField name="COUNTA of attivato" fld="8" subtotal="count" baseField="0"/>
  </dataFields>
</pivotTableDefinition>
</file>

<file path=xl/pivotTables/pivotTable2.xml><?xml version="1.0" encoding="utf-8"?>
<pivotTableDefinition xmlns="http://schemas.openxmlformats.org/spreadsheetml/2006/main" name="pivot aprile 2026 2" cacheId="0" dataCaption="" compact="0" compactData="0">
  <location ref="B14:E59" firstHeaderRow="0" firstDataRow="3" firstDataCol="0"/>
  <pivotFields>
    <pivotField name="negozio" axis="axisRow" compact="0" outline="0" multipleItemSelectionAllowed="1" showAll="0" sortType="ascending">
      <items>
        <item h="1" x="4"/>
        <item x="5"/>
        <item x="12"/>
        <item x="2"/>
        <item x="9"/>
        <item x="11"/>
        <item x="8"/>
        <item x="10"/>
        <item x="0"/>
        <item x="1"/>
        <item x="6"/>
        <item x="13"/>
        <item x="7"/>
        <item x="3"/>
        <item t="default"/>
      </items>
    </pivotField>
    <pivotField name="opera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d pratic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partita iv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ragione soci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eriale s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piano tariffario inse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seri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ttivat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agabile ad aprile" compact="0" outline="0" multipleItemSelectionAllowed="1" showAll="0">
      <items>
        <item x="0"/>
        <item x="1"/>
        <item t="default"/>
      </items>
    </pivotField>
    <pivotField name="note" compact="0" outline="0" multipleItemSelectionAllowed="1" showAll="0">
      <items>
        <item x="0"/>
        <item x="1"/>
        <item t="default"/>
      </items>
    </pivotField>
    <pivotField name="pt inserito" axis="axisRow" dataField="1" compact="0" outline="0" multipleItemSelectionAllowed="1" showAll="0" sortType="ascending">
      <items>
        <item x="2"/>
        <item x="3"/>
        <item x="0"/>
        <item x="1"/>
        <item t="default"/>
      </items>
    </pivotField>
    <pivotField name="pt attivat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  <field x="11"/>
  </rowFields>
  <colFields>
    <field x="-2"/>
  </colFields>
  <dataFields>
    <dataField name="COUNTA of pt inserito" fld="11" subtotal="count" baseField="0"/>
    <dataField name="COUNTA of attivato" fld="8" subtotal="count" baseField="0"/>
  </dataFields>
</pivotTableDefinition>
</file>

<file path=xl/pivotTables/pivotTable3.xml><?xml version="1.0" encoding="utf-8"?>
<pivotTableDefinition xmlns="http://schemas.openxmlformats.org/spreadsheetml/2006/main" name="pivot marzo 2026" cacheId="1" dataCaption="" compact="0" compactData="0">
  <location ref="B7:D10" firstHeaderRow="0" firstDataRow="2" firstDataCol="0"/>
  <pivotFields>
    <pivotField name="negoz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pera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d prati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partita 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ragione soci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eriale s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piano tariffario inseri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seri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attivat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agabile a marzo" compact="0" outline="0" multipleItemSelectionAllowed="1" showAll="0">
      <items>
        <item x="0"/>
        <item x="1"/>
        <item x="2"/>
        <item t="default"/>
      </items>
    </pivotField>
    <pivotField name="note" compact="0" outline="0" multipleItemSelectionAllowed="1" showAll="0">
      <items>
        <item x="0"/>
        <item x="1"/>
        <item t="default"/>
      </items>
    </pivotField>
    <pivotField name="pt inserito" axis="axisRow" compact="0" outline="0" multipleItemSelectionAllowed="1" showAll="0" sortType="ascending">
      <items>
        <item h="1" x="3"/>
        <item h="1" x="2"/>
        <item x="0"/>
        <item x="1"/>
        <item t="default"/>
      </items>
    </pivotField>
    <pivotField name="pt attivat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1"/>
  </rowFields>
  <colFields>
    <field x="-2"/>
  </colFields>
  <dataFields>
    <dataField name="COUNTA of piano tariffario inserito" fld="6" subtotal="count" baseField="0"/>
    <dataField name="COUNTA of attivato" fld="8" subtotal="count" baseField="0"/>
  </dataFields>
</pivotTableDefinition>
</file>

<file path=xl/pivotTables/pivotTable4.xml><?xml version="1.0" encoding="utf-8"?>
<pivotTableDefinition xmlns="http://schemas.openxmlformats.org/spreadsheetml/2006/main" name="pivot marzo 2026 2" cacheId="1" dataCaption="" compact="0" compactData="0">
  <location ref="B14:E61" firstHeaderRow="0" firstDataRow="3" firstDataCol="0"/>
  <pivotFields>
    <pivotField name="negozio" axis="axisRow" compact="0" outline="0" multipleItemSelectionAllowed="1" showAll="0" sortType="ascending">
      <items>
        <item h="1" x="13"/>
        <item x="5"/>
        <item x="12"/>
        <item x="2"/>
        <item x="9"/>
        <item x="7"/>
        <item x="6"/>
        <item x="3"/>
        <item x="10"/>
        <item x="0"/>
        <item x="4"/>
        <item x="1"/>
        <item x="8"/>
        <item x="11"/>
        <item t="default"/>
      </items>
    </pivotField>
    <pivotField name="opera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d prati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partita 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ragione soci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eriale s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piano tariffario inse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seri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attivat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agabile a marzo" compact="0" outline="0" multipleItemSelectionAllowed="1" showAll="0">
      <items>
        <item x="0"/>
        <item x="1"/>
        <item x="2"/>
        <item t="default"/>
      </items>
    </pivotField>
    <pivotField name="note" compact="0" outline="0" multipleItemSelectionAllowed="1" showAll="0">
      <items>
        <item x="0"/>
        <item x="1"/>
        <item t="default"/>
      </items>
    </pivotField>
    <pivotField name="pt inserito" axis="axisRow" dataField="1" compact="0" outline="0" multipleItemSelectionAllowed="1" showAll="0" sortType="ascending">
      <items>
        <item x="3"/>
        <item x="2"/>
        <item x="0"/>
        <item x="1"/>
        <item t="default"/>
      </items>
    </pivotField>
    <pivotField name="pt attivat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  <field x="11"/>
  </rowFields>
  <colFields>
    <field x="-2"/>
  </colFields>
  <dataFields>
    <dataField name="COUNTA of pt inserito" fld="11" subtotal="count" baseField="0"/>
    <dataField name="COUNTA of attivato" fld="8" subtotal="count" baseField="0"/>
  </dataFields>
</pivotTableDefinition>
</file>

<file path=xl/pivotTables/pivotTable5.xml><?xml version="1.0" encoding="utf-8"?>
<pivotTableDefinition xmlns="http://schemas.openxmlformats.org/spreadsheetml/2006/main" name="pivot febbraio 2026" cacheId="2" dataCaption="" compact="0" compactData="0">
  <location ref="B7:D10" firstHeaderRow="0" firstDataRow="2" firstDataCol="0"/>
  <pivotFields>
    <pivotField name="negoz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d pratic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partita iv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ragione soci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eriale s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iano tariffario inseri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seri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ttivat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agabile a febbraio" compact="0" outline="0" multipleItemSelectionAllowed="1" showAll="0">
      <items>
        <item x="0"/>
        <item x="1"/>
        <item x="2"/>
        <item t="default"/>
      </items>
    </pivotField>
    <pivotField name="note" compact="0" outline="0" multipleItemSelectionAllowed="1" showAll="0">
      <items>
        <item x="0"/>
        <item t="default"/>
      </items>
    </pivotField>
    <pivotField name="pt inserito" axis="axisRow" compact="0" outline="0" multipleItemSelectionAllowed="1" showAll="0" sortType="ascending">
      <items>
        <item h="1" x="3"/>
        <item h="1" x="2"/>
        <item x="1"/>
        <item x="0"/>
        <item t="default"/>
      </items>
    </pivotField>
    <pivotField name="pt attivat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1"/>
  </rowFields>
  <colFields>
    <field x="-2"/>
  </colFields>
  <dataFields>
    <dataField name="COUNTA of piano tariffario inserito" fld="6" subtotal="count" baseField="0"/>
    <dataField name="COUNTA of attivato" fld="8" subtotal="count" baseField="0"/>
  </dataFields>
</pivotTableDefinition>
</file>

<file path=xl/pivotTables/pivotTable6.xml><?xml version="1.0" encoding="utf-8"?>
<pivotTableDefinition xmlns="http://schemas.openxmlformats.org/spreadsheetml/2006/main" name="pivot febbraio 2026 2" cacheId="2" dataCaption="" compact="0" compactData="0">
  <location ref="B14:E49" firstHeaderRow="0" firstDataRow="3" firstDataCol="0"/>
  <pivotFields>
    <pivotField name="negozio" axis="axisRow" compact="0" outline="0" multipleItemSelectionAllowed="1" showAll="0" sortType="ascending">
      <items>
        <item h="1" x="12"/>
        <item x="0"/>
        <item x="5"/>
        <item x="8"/>
        <item x="2"/>
        <item x="10"/>
        <item x="6"/>
        <item x="7"/>
        <item x="9"/>
        <item x="4"/>
        <item x="3"/>
        <item h="1" x="11"/>
        <item x="1"/>
        <item t="default"/>
      </items>
    </pivotField>
    <pivotField name="opera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d pratic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partita iv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ragione soci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eriale s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iano tariffario inse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seri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ttivat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agabile a febbraio" compact="0" outline="0" multipleItemSelectionAllowed="1" showAll="0">
      <items>
        <item x="0"/>
        <item x="1"/>
        <item x="2"/>
        <item t="default"/>
      </items>
    </pivotField>
    <pivotField name="note" compact="0" outline="0" multipleItemSelectionAllowed="1" showAll="0">
      <items>
        <item x="0"/>
        <item t="default"/>
      </items>
    </pivotField>
    <pivotField name="pt inserito" axis="axisRow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pt attivat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  <field x="11"/>
  </rowFields>
  <colFields>
    <field x="-2"/>
  </colFields>
  <dataFields>
    <dataField name="COUNTA of pt inserito" fld="11" subtotal="count" baseField="0"/>
    <dataField name="COUNTA of attivato" fld="8" subtotal="count" baseField="0"/>
  </dataFields>
</pivotTableDefinition>
</file>

<file path=xl/pivotTables/pivotTable7.xml><?xml version="1.0" encoding="utf-8"?>
<pivotTableDefinition xmlns="http://schemas.openxmlformats.org/spreadsheetml/2006/main" name="pivot gennaio 2026" cacheId="3" dataCaption="" compact="0" compactData="0">
  <location ref="B7:D10" firstHeaderRow="0" firstDataRow="2" firstDataCol="0"/>
  <pivotFields>
    <pivotField name="negoz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d pratic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partita iv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ragione soci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seriale s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piano tariffario inseri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seri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ttivat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pagabile a gennaio" compact="0" outline="0" multipleItemSelectionAllowed="1" showAll="0">
      <items>
        <item x="0"/>
        <item x="1"/>
        <item x="2"/>
        <item t="default"/>
      </items>
    </pivotField>
    <pivotField name="note" compact="0" outline="0" multipleItemSelectionAllowed="1" showAll="0">
      <items>
        <item x="0"/>
        <item x="1"/>
        <item t="default"/>
      </items>
    </pivotField>
    <pivotField name="pt inserito" axis="axisRow" compact="0" outline="0" multipleItemSelectionAllowed="1" showAll="0" sortType="ascending">
      <items>
        <item h="1" x="3"/>
        <item h="1" x="2"/>
        <item x="1"/>
        <item x="0"/>
        <item t="default"/>
      </items>
    </pivotField>
    <pivotField name="pt attivat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1"/>
  </rowFields>
  <colFields>
    <field x="-2"/>
  </colFields>
  <dataFields>
    <dataField name="COUNTA of piano tariffario inserito" fld="6" subtotal="count" baseField="0"/>
    <dataField name="COUNTA of attivato" fld="8" subtotal="count" baseField="0"/>
  </dataFields>
</pivotTableDefinition>
</file>

<file path=xl/pivotTables/pivotTable8.xml><?xml version="1.0" encoding="utf-8"?>
<pivotTableDefinition xmlns="http://schemas.openxmlformats.org/spreadsheetml/2006/main" name="pivot gennaio 2026 2" cacheId="3" dataCaption="" compact="0" compactData="0">
  <location ref="B14:E55" firstHeaderRow="0" firstDataRow="3" firstDataCol="0"/>
  <pivotFields>
    <pivotField name="negozio" axis="axisRow" compact="0" outline="0" multipleItemSelectionAllowed="1" showAll="0" sortType="ascending">
      <items>
        <item h="1" x="12"/>
        <item x="8"/>
        <item x="1"/>
        <item x="4"/>
        <item x="0"/>
        <item x="7"/>
        <item x="10"/>
        <item x="6"/>
        <item x="5"/>
        <item x="9"/>
        <item x="3"/>
        <item x="2"/>
        <item x="11"/>
        <item t="default"/>
      </items>
    </pivotField>
    <pivotField name="opera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d pratic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partita iv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ragione soci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seriale s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piano tariffario inse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seri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ttivat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pagabile a gennaio" compact="0" outline="0" multipleItemSelectionAllowed="1" showAll="0">
      <items>
        <item x="0"/>
        <item x="1"/>
        <item x="2"/>
        <item t="default"/>
      </items>
    </pivotField>
    <pivotField name="note" compact="0" outline="0" multipleItemSelectionAllowed="1" showAll="0">
      <items>
        <item x="0"/>
        <item x="1"/>
        <item t="default"/>
      </items>
    </pivotField>
    <pivotField name="pt inserito" axis="axisRow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pt attivat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  <field x="11"/>
  </rowFields>
  <colFields>
    <field x="-2"/>
  </colFields>
  <dataFields>
    <dataField name="COUNTA of pt inserito" fld="11" subtotal="count" baseField="0"/>
    <dataField name="COUNTA of attivato" fld="8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1.0"/>
    <col customWidth="1" min="3" max="3" width="21.88"/>
    <col customWidth="1" min="4" max="4" width="10.0"/>
    <col customWidth="1" min="5" max="5" width="12.0"/>
    <col customWidth="1" min="6" max="6" width="36.38"/>
    <col customWidth="1" min="7" max="7" width="19.5"/>
    <col customWidth="1" min="8" max="8" width="23.13"/>
    <col customWidth="1" min="9" max="10" width="10.13"/>
    <col customWidth="1" min="11" max="11" width="20.13"/>
    <col customWidth="1" min="12" max="12" width="25.13"/>
    <col customWidth="1" min="13" max="13" width="10.75"/>
    <col customWidth="1" min="14" max="14" width="11.1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>
        <v>1.783070533E9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0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5" t="s">
        <v>9</v>
      </c>
      <c r="L2" s="3" t="s">
        <v>10</v>
      </c>
      <c r="M2" s="3" t="s">
        <v>11</v>
      </c>
      <c r="N2" s="3" t="s">
        <v>12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6" t="s">
        <v>13</v>
      </c>
      <c r="C3" s="7" t="s">
        <v>14</v>
      </c>
      <c r="D3" s="8" t="s">
        <v>15</v>
      </c>
      <c r="E3" s="9" t="s">
        <v>16</v>
      </c>
      <c r="F3" s="10" t="s">
        <v>17</v>
      </c>
      <c r="G3" s="10" t="s">
        <v>18</v>
      </c>
      <c r="H3" s="10" t="s">
        <v>19</v>
      </c>
      <c r="I3" s="11">
        <v>46113.0</v>
      </c>
      <c r="J3" s="11">
        <v>46116.0</v>
      </c>
      <c r="K3" s="10" t="s">
        <v>20</v>
      </c>
      <c r="L3" s="12" t="s">
        <v>21</v>
      </c>
      <c r="M3" s="13" t="str">
        <f t="shared" ref="M3:M250" si="1">IF(H3="","", LEFT(H3,6))</f>
        <v>fissa </v>
      </c>
      <c r="N3" s="13" t="str">
        <f t="shared" ref="N3:N250" si="2">IF(J3="","",M3)</f>
        <v>fissa 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" t="s">
        <v>13</v>
      </c>
      <c r="C4" s="7" t="s">
        <v>14</v>
      </c>
      <c r="D4" s="14"/>
      <c r="E4" s="9" t="s">
        <v>22</v>
      </c>
      <c r="F4" s="10" t="s">
        <v>23</v>
      </c>
      <c r="G4" s="10" t="s">
        <v>24</v>
      </c>
      <c r="H4" s="10" t="s">
        <v>25</v>
      </c>
      <c r="I4" s="11">
        <v>46113.0</v>
      </c>
      <c r="J4" s="11">
        <v>46126.0</v>
      </c>
      <c r="K4" s="10" t="s">
        <v>20</v>
      </c>
      <c r="L4" s="12" t="s">
        <v>21</v>
      </c>
      <c r="M4" s="13" t="str">
        <f t="shared" si="1"/>
        <v>mobile</v>
      </c>
      <c r="N4" s="13" t="str">
        <f t="shared" si="2"/>
        <v>mobile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6" t="s">
        <v>26</v>
      </c>
      <c r="C5" s="7" t="s">
        <v>27</v>
      </c>
      <c r="D5" s="8" t="s">
        <v>28</v>
      </c>
      <c r="E5" s="9" t="s">
        <v>29</v>
      </c>
      <c r="F5" s="10" t="s">
        <v>30</v>
      </c>
      <c r="G5" s="9" t="s">
        <v>31</v>
      </c>
      <c r="H5" s="10" t="s">
        <v>32</v>
      </c>
      <c r="I5" s="11">
        <v>46114.0</v>
      </c>
      <c r="J5" s="11">
        <v>46116.0</v>
      </c>
      <c r="K5" s="10" t="s">
        <v>20</v>
      </c>
      <c r="L5" s="12"/>
      <c r="M5" s="13" t="str">
        <f t="shared" si="1"/>
        <v>fissa </v>
      </c>
      <c r="N5" s="13" t="str">
        <f t="shared" si="2"/>
        <v>fissa 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6" t="s">
        <v>13</v>
      </c>
      <c r="C6" s="7" t="s">
        <v>14</v>
      </c>
      <c r="D6" s="14" t="s">
        <v>33</v>
      </c>
      <c r="E6" s="9" t="s">
        <v>34</v>
      </c>
      <c r="F6" s="10" t="s">
        <v>35</v>
      </c>
      <c r="G6" s="10" t="s">
        <v>36</v>
      </c>
      <c r="H6" s="10" t="s">
        <v>37</v>
      </c>
      <c r="I6" s="11">
        <v>46113.0</v>
      </c>
      <c r="J6" s="15">
        <v>46113.0</v>
      </c>
      <c r="K6" s="12" t="s">
        <v>20</v>
      </c>
      <c r="L6" s="12"/>
      <c r="M6" s="13" t="str">
        <f t="shared" si="1"/>
        <v>mobile</v>
      </c>
      <c r="N6" s="13" t="str">
        <f t="shared" si="2"/>
        <v>mobile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" t="s">
        <v>38</v>
      </c>
      <c r="C7" s="7" t="s">
        <v>39</v>
      </c>
      <c r="D7" s="8" t="s">
        <v>40</v>
      </c>
      <c r="E7" s="9" t="s">
        <v>41</v>
      </c>
      <c r="F7" s="10" t="s">
        <v>42</v>
      </c>
      <c r="G7" s="10" t="s">
        <v>43</v>
      </c>
      <c r="H7" s="10" t="s">
        <v>44</v>
      </c>
      <c r="I7" s="11">
        <v>46114.0</v>
      </c>
      <c r="J7" s="11">
        <v>46119.0</v>
      </c>
      <c r="K7" s="10" t="s">
        <v>20</v>
      </c>
      <c r="L7" s="12"/>
      <c r="M7" s="13" t="str">
        <f t="shared" si="1"/>
        <v>fissa </v>
      </c>
      <c r="N7" s="13" t="str">
        <f t="shared" si="2"/>
        <v>fissa 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6" t="s">
        <v>45</v>
      </c>
      <c r="C8" s="7" t="s">
        <v>46</v>
      </c>
      <c r="D8" s="8"/>
      <c r="E8" s="9" t="s">
        <v>47</v>
      </c>
      <c r="F8" s="10" t="s">
        <v>48</v>
      </c>
      <c r="G8" s="10" t="s">
        <v>49</v>
      </c>
      <c r="H8" s="10" t="s">
        <v>25</v>
      </c>
      <c r="I8" s="11">
        <v>46113.0</v>
      </c>
      <c r="J8" s="11">
        <v>46120.0</v>
      </c>
      <c r="K8" s="10" t="s">
        <v>20</v>
      </c>
      <c r="L8" s="12" t="s">
        <v>21</v>
      </c>
      <c r="M8" s="13" t="str">
        <f t="shared" si="1"/>
        <v>mobile</v>
      </c>
      <c r="N8" s="13" t="str">
        <f t="shared" si="2"/>
        <v>mobile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/>
      <c r="C9" s="7"/>
      <c r="D9" s="8"/>
      <c r="E9" s="9"/>
      <c r="F9" s="10"/>
      <c r="G9" s="10"/>
      <c r="H9" s="10"/>
      <c r="I9" s="11"/>
      <c r="J9" s="15"/>
      <c r="K9" s="12"/>
      <c r="L9" s="12"/>
      <c r="M9" s="13" t="str">
        <f t="shared" si="1"/>
        <v/>
      </c>
      <c r="N9" s="13" t="str">
        <f t="shared" si="2"/>
        <v/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6" t="s">
        <v>45</v>
      </c>
      <c r="C10" s="7" t="s">
        <v>46</v>
      </c>
      <c r="D10" s="8" t="s">
        <v>50</v>
      </c>
      <c r="E10" s="9" t="s">
        <v>51</v>
      </c>
      <c r="F10" s="10" t="s">
        <v>52</v>
      </c>
      <c r="G10" s="10" t="s">
        <v>53</v>
      </c>
      <c r="H10" s="10" t="s">
        <v>54</v>
      </c>
      <c r="I10" s="11">
        <v>46113.0</v>
      </c>
      <c r="J10" s="11"/>
      <c r="K10" s="10"/>
      <c r="L10" s="12" t="s">
        <v>21</v>
      </c>
      <c r="M10" s="13" t="str">
        <f t="shared" si="1"/>
        <v>easy r</v>
      </c>
      <c r="N10" s="13" t="str">
        <f t="shared" si="2"/>
        <v/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6" t="s">
        <v>55</v>
      </c>
      <c r="C11" s="7" t="s">
        <v>56</v>
      </c>
      <c r="D11" s="8" t="s">
        <v>57</v>
      </c>
      <c r="E11" s="9" t="s">
        <v>58</v>
      </c>
      <c r="F11" s="10" t="s">
        <v>59</v>
      </c>
      <c r="G11" s="10" t="s">
        <v>60</v>
      </c>
      <c r="H11" s="10" t="s">
        <v>54</v>
      </c>
      <c r="I11" s="11">
        <v>46113.0</v>
      </c>
      <c r="J11" s="11">
        <v>46116.0</v>
      </c>
      <c r="K11" s="10" t="s">
        <v>20</v>
      </c>
      <c r="L11" s="12" t="s">
        <v>21</v>
      </c>
      <c r="M11" s="13" t="str">
        <f t="shared" si="1"/>
        <v>easy r</v>
      </c>
      <c r="N11" s="13" t="str">
        <f t="shared" si="2"/>
        <v>easy r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6" t="s">
        <v>38</v>
      </c>
      <c r="C12" s="7" t="s">
        <v>61</v>
      </c>
      <c r="D12" s="16" t="s">
        <v>62</v>
      </c>
      <c r="E12" s="9" t="s">
        <v>63</v>
      </c>
      <c r="F12" s="10" t="s">
        <v>64</v>
      </c>
      <c r="G12" s="10" t="s">
        <v>65</v>
      </c>
      <c r="H12" s="10" t="s">
        <v>66</v>
      </c>
      <c r="I12" s="11">
        <v>46113.0</v>
      </c>
      <c r="J12" s="11">
        <v>46114.0</v>
      </c>
      <c r="K12" s="10" t="s">
        <v>20</v>
      </c>
      <c r="L12" s="12" t="s">
        <v>21</v>
      </c>
      <c r="M12" s="13" t="str">
        <f t="shared" si="1"/>
        <v>mobile</v>
      </c>
      <c r="N12" s="13" t="str">
        <f t="shared" si="2"/>
        <v>mobile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" t="s">
        <v>38</v>
      </c>
      <c r="C13" s="7" t="s">
        <v>61</v>
      </c>
      <c r="D13" s="14"/>
      <c r="E13" s="9" t="s">
        <v>63</v>
      </c>
      <c r="F13" s="10" t="s">
        <v>64</v>
      </c>
      <c r="G13" s="10" t="s">
        <v>67</v>
      </c>
      <c r="H13" s="10" t="s">
        <v>68</v>
      </c>
      <c r="I13" s="11">
        <v>46113.0</v>
      </c>
      <c r="J13" s="11">
        <v>46114.0</v>
      </c>
      <c r="K13" s="10" t="s">
        <v>20</v>
      </c>
      <c r="L13" s="12" t="s">
        <v>21</v>
      </c>
      <c r="M13" s="13" t="str">
        <f t="shared" si="1"/>
        <v>fissa </v>
      </c>
      <c r="N13" s="13" t="str">
        <f t="shared" si="2"/>
        <v>fissa 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" t="s">
        <v>38</v>
      </c>
      <c r="C14" s="7" t="s">
        <v>61</v>
      </c>
      <c r="D14" s="8" t="s">
        <v>69</v>
      </c>
      <c r="E14" s="9" t="s">
        <v>63</v>
      </c>
      <c r="F14" s="10" t="s">
        <v>64</v>
      </c>
      <c r="G14" s="10" t="s">
        <v>70</v>
      </c>
      <c r="H14" s="10" t="s">
        <v>37</v>
      </c>
      <c r="I14" s="11">
        <v>46113.0</v>
      </c>
      <c r="J14" s="11">
        <v>46113.0</v>
      </c>
      <c r="K14" s="10" t="s">
        <v>20</v>
      </c>
      <c r="L14" s="12" t="s">
        <v>21</v>
      </c>
      <c r="M14" s="13" t="str">
        <f t="shared" si="1"/>
        <v>mobile</v>
      </c>
      <c r="N14" s="13" t="str">
        <f t="shared" si="2"/>
        <v>mobile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" t="s">
        <v>38</v>
      </c>
      <c r="C15" s="7" t="s">
        <v>39</v>
      </c>
      <c r="D15" s="8" t="s">
        <v>71</v>
      </c>
      <c r="E15" s="9" t="s">
        <v>72</v>
      </c>
      <c r="F15" s="10" t="s">
        <v>73</v>
      </c>
      <c r="G15" s="10" t="s">
        <v>74</v>
      </c>
      <c r="H15" s="10" t="s">
        <v>32</v>
      </c>
      <c r="I15" s="11">
        <v>46113.0</v>
      </c>
      <c r="J15" s="11">
        <v>46116.0</v>
      </c>
      <c r="K15" s="10" t="s">
        <v>20</v>
      </c>
      <c r="L15" s="17"/>
      <c r="M15" s="13" t="str">
        <f t="shared" si="1"/>
        <v>fissa </v>
      </c>
      <c r="N15" s="13" t="str">
        <f t="shared" si="2"/>
        <v>fissa 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" t="s">
        <v>75</v>
      </c>
      <c r="C16" s="7" t="s">
        <v>76</v>
      </c>
      <c r="D16" s="14" t="s">
        <v>77</v>
      </c>
      <c r="E16" s="9" t="s">
        <v>78</v>
      </c>
      <c r="F16" s="10" t="s">
        <v>79</v>
      </c>
      <c r="G16" s="10" t="s">
        <v>80</v>
      </c>
      <c r="H16" s="10" t="s">
        <v>25</v>
      </c>
      <c r="I16" s="11">
        <v>46113.0</v>
      </c>
      <c r="J16" s="11">
        <v>46116.0</v>
      </c>
      <c r="K16" s="10" t="s">
        <v>20</v>
      </c>
      <c r="L16" s="17"/>
      <c r="M16" s="13" t="str">
        <f t="shared" si="1"/>
        <v>mobile</v>
      </c>
      <c r="N16" s="13" t="str">
        <f t="shared" si="2"/>
        <v>mobile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" t="s">
        <v>75</v>
      </c>
      <c r="C17" s="7" t="s">
        <v>76</v>
      </c>
      <c r="D17" s="14"/>
      <c r="E17" s="9" t="s">
        <v>78</v>
      </c>
      <c r="F17" s="10" t="s">
        <v>79</v>
      </c>
      <c r="G17" s="10" t="s">
        <v>81</v>
      </c>
      <c r="H17" s="10" t="s">
        <v>44</v>
      </c>
      <c r="I17" s="11">
        <v>46113.0</v>
      </c>
      <c r="J17" s="11">
        <v>46116.0</v>
      </c>
      <c r="K17" s="10" t="s">
        <v>20</v>
      </c>
      <c r="L17" s="17"/>
      <c r="M17" s="13" t="str">
        <f t="shared" si="1"/>
        <v>fissa </v>
      </c>
      <c r="N17" s="13" t="str">
        <f t="shared" si="2"/>
        <v>fissa 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6" t="s">
        <v>75</v>
      </c>
      <c r="C18" s="7" t="s">
        <v>76</v>
      </c>
      <c r="D18" s="14" t="s">
        <v>82</v>
      </c>
      <c r="E18" s="9" t="s">
        <v>83</v>
      </c>
      <c r="F18" s="10" t="s">
        <v>84</v>
      </c>
      <c r="G18" s="10" t="s">
        <v>85</v>
      </c>
      <c r="H18" s="10" t="s">
        <v>54</v>
      </c>
      <c r="I18" s="11">
        <v>46113.0</v>
      </c>
      <c r="J18" s="11"/>
      <c r="K18" s="10"/>
      <c r="L18" s="12" t="s">
        <v>21</v>
      </c>
      <c r="M18" s="13" t="str">
        <f t="shared" si="1"/>
        <v>easy r</v>
      </c>
      <c r="N18" s="13" t="str">
        <f t="shared" si="2"/>
        <v/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6" t="s">
        <v>86</v>
      </c>
      <c r="C19" s="7" t="s">
        <v>87</v>
      </c>
      <c r="D19" s="8" t="s">
        <v>88</v>
      </c>
      <c r="E19" s="9" t="s">
        <v>89</v>
      </c>
      <c r="F19" s="10" t="s">
        <v>90</v>
      </c>
      <c r="G19" s="10" t="s">
        <v>91</v>
      </c>
      <c r="H19" s="10" t="s">
        <v>54</v>
      </c>
      <c r="I19" s="11">
        <v>46113.0</v>
      </c>
      <c r="J19" s="11">
        <v>46114.0</v>
      </c>
      <c r="K19" s="10" t="s">
        <v>20</v>
      </c>
      <c r="L19" s="12" t="s">
        <v>21</v>
      </c>
      <c r="M19" s="13" t="str">
        <f t="shared" si="1"/>
        <v>easy r</v>
      </c>
      <c r="N19" s="13" t="str">
        <f t="shared" si="2"/>
        <v>easy r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6" t="s">
        <v>26</v>
      </c>
      <c r="C20" s="7" t="s">
        <v>27</v>
      </c>
      <c r="D20" s="14" t="s">
        <v>92</v>
      </c>
      <c r="E20" s="9" t="s">
        <v>93</v>
      </c>
      <c r="F20" s="10" t="s">
        <v>94</v>
      </c>
      <c r="G20" s="10" t="s">
        <v>95</v>
      </c>
      <c r="H20" s="10" t="s">
        <v>44</v>
      </c>
      <c r="I20" s="11">
        <v>46113.0</v>
      </c>
      <c r="J20" s="11">
        <v>46114.0</v>
      </c>
      <c r="K20" s="10" t="s">
        <v>20</v>
      </c>
      <c r="L20" s="17"/>
      <c r="M20" s="13" t="str">
        <f t="shared" si="1"/>
        <v>fissa </v>
      </c>
      <c r="N20" s="13" t="str">
        <f t="shared" si="2"/>
        <v>fissa 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6" t="s">
        <v>86</v>
      </c>
      <c r="C21" s="7" t="s">
        <v>96</v>
      </c>
      <c r="D21" s="14" t="s">
        <v>97</v>
      </c>
      <c r="E21" s="9" t="s">
        <v>98</v>
      </c>
      <c r="F21" s="10" t="s">
        <v>99</v>
      </c>
      <c r="G21" s="10" t="s">
        <v>100</v>
      </c>
      <c r="H21" s="10" t="s">
        <v>66</v>
      </c>
      <c r="I21" s="11">
        <v>46114.0</v>
      </c>
      <c r="J21" s="11">
        <v>46116.0</v>
      </c>
      <c r="K21" s="10" t="s">
        <v>20</v>
      </c>
      <c r="L21" s="17"/>
      <c r="M21" s="13" t="str">
        <f t="shared" si="1"/>
        <v>mobile</v>
      </c>
      <c r="N21" s="13" t="str">
        <f t="shared" si="2"/>
        <v>mobile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" t="s">
        <v>86</v>
      </c>
      <c r="C22" s="7" t="s">
        <v>96</v>
      </c>
      <c r="D22" s="8"/>
      <c r="E22" s="9" t="s">
        <v>98</v>
      </c>
      <c r="F22" s="10" t="s">
        <v>99</v>
      </c>
      <c r="G22" s="10" t="s">
        <v>101</v>
      </c>
      <c r="H22" s="10" t="s">
        <v>68</v>
      </c>
      <c r="I22" s="11">
        <v>46114.0</v>
      </c>
      <c r="J22" s="11">
        <v>46116.0</v>
      </c>
      <c r="K22" s="10" t="s">
        <v>20</v>
      </c>
      <c r="L22" s="17"/>
      <c r="M22" s="13" t="str">
        <f t="shared" si="1"/>
        <v>fissa </v>
      </c>
      <c r="N22" s="13" t="str">
        <f t="shared" si="2"/>
        <v>fissa 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6" t="s">
        <v>13</v>
      </c>
      <c r="C23" s="7" t="s">
        <v>14</v>
      </c>
      <c r="D23" s="14" t="s">
        <v>102</v>
      </c>
      <c r="E23" s="9" t="s">
        <v>103</v>
      </c>
      <c r="F23" s="10" t="s">
        <v>104</v>
      </c>
      <c r="G23" s="10" t="s">
        <v>105</v>
      </c>
      <c r="H23" s="10" t="s">
        <v>66</v>
      </c>
      <c r="I23" s="11">
        <v>46114.0</v>
      </c>
      <c r="J23" s="11">
        <v>46114.0</v>
      </c>
      <c r="K23" s="10" t="s">
        <v>20</v>
      </c>
      <c r="L23" s="17"/>
      <c r="M23" s="13" t="str">
        <f t="shared" si="1"/>
        <v>mobile</v>
      </c>
      <c r="N23" s="13" t="str">
        <f t="shared" si="2"/>
        <v>mobile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6" t="s">
        <v>13</v>
      </c>
      <c r="C24" s="7" t="s">
        <v>14</v>
      </c>
      <c r="D24" s="8"/>
      <c r="E24" s="9" t="s">
        <v>103</v>
      </c>
      <c r="F24" s="10" t="s">
        <v>104</v>
      </c>
      <c r="G24" s="10" t="s">
        <v>106</v>
      </c>
      <c r="H24" s="10" t="s">
        <v>68</v>
      </c>
      <c r="I24" s="11">
        <v>46114.0</v>
      </c>
      <c r="J24" s="11">
        <v>46114.0</v>
      </c>
      <c r="K24" s="10" t="s">
        <v>20</v>
      </c>
      <c r="L24" s="17"/>
      <c r="M24" s="13" t="str">
        <f t="shared" si="1"/>
        <v>fissa </v>
      </c>
      <c r="N24" s="13" t="str">
        <f t="shared" si="2"/>
        <v>fissa 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6" t="s">
        <v>45</v>
      </c>
      <c r="C25" s="7" t="s">
        <v>87</v>
      </c>
      <c r="D25" s="14" t="s">
        <v>107</v>
      </c>
      <c r="E25" s="9" t="s">
        <v>108</v>
      </c>
      <c r="F25" s="10" t="s">
        <v>109</v>
      </c>
      <c r="G25" s="10" t="s">
        <v>110</v>
      </c>
      <c r="H25" s="10" t="s">
        <v>37</v>
      </c>
      <c r="I25" s="11">
        <v>46113.0</v>
      </c>
      <c r="J25" s="11">
        <v>46115.0</v>
      </c>
      <c r="K25" s="10" t="s">
        <v>20</v>
      </c>
      <c r="L25" s="12" t="s">
        <v>21</v>
      </c>
      <c r="M25" s="13" t="str">
        <f t="shared" si="1"/>
        <v>mobile</v>
      </c>
      <c r="N25" s="13" t="str">
        <f t="shared" si="2"/>
        <v>mobile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6" t="s">
        <v>45</v>
      </c>
      <c r="C26" s="7" t="s">
        <v>87</v>
      </c>
      <c r="D26" s="14"/>
      <c r="E26" s="9" t="s">
        <v>108</v>
      </c>
      <c r="F26" s="10" t="s">
        <v>109</v>
      </c>
      <c r="G26" s="10" t="s">
        <v>111</v>
      </c>
      <c r="H26" s="10" t="s">
        <v>37</v>
      </c>
      <c r="I26" s="11">
        <v>46113.0</v>
      </c>
      <c r="J26" s="15">
        <v>46115.0</v>
      </c>
      <c r="K26" s="12" t="s">
        <v>20</v>
      </c>
      <c r="L26" s="12" t="s">
        <v>21</v>
      </c>
      <c r="M26" s="13" t="str">
        <f t="shared" si="1"/>
        <v>mobile</v>
      </c>
      <c r="N26" s="13" t="str">
        <f t="shared" si="2"/>
        <v>mobile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6" t="s">
        <v>38</v>
      </c>
      <c r="C27" s="7" t="s">
        <v>39</v>
      </c>
      <c r="D27" s="8" t="s">
        <v>112</v>
      </c>
      <c r="E27" s="9" t="s">
        <v>113</v>
      </c>
      <c r="F27" s="10" t="s">
        <v>114</v>
      </c>
      <c r="G27" s="10" t="s">
        <v>115</v>
      </c>
      <c r="H27" s="10" t="s">
        <v>44</v>
      </c>
      <c r="I27" s="11">
        <v>46115.0</v>
      </c>
      <c r="J27" s="11">
        <v>46119.0</v>
      </c>
      <c r="K27" s="10" t="s">
        <v>20</v>
      </c>
      <c r="L27" s="17"/>
      <c r="M27" s="13" t="str">
        <f t="shared" si="1"/>
        <v>fissa </v>
      </c>
      <c r="N27" s="13" t="str">
        <f t="shared" si="2"/>
        <v>fissa 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6" t="s">
        <v>116</v>
      </c>
      <c r="C28" s="7" t="s">
        <v>117</v>
      </c>
      <c r="D28" s="8" t="s">
        <v>118</v>
      </c>
      <c r="E28" s="9" t="s">
        <v>119</v>
      </c>
      <c r="F28" s="10" t="s">
        <v>120</v>
      </c>
      <c r="G28" s="10" t="s">
        <v>121</v>
      </c>
      <c r="H28" s="10" t="s">
        <v>37</v>
      </c>
      <c r="I28" s="11">
        <v>46114.0</v>
      </c>
      <c r="J28" s="15">
        <v>46120.0</v>
      </c>
      <c r="K28" s="12" t="s">
        <v>20</v>
      </c>
      <c r="L28" s="17"/>
      <c r="M28" s="13" t="str">
        <f t="shared" si="1"/>
        <v>mobile</v>
      </c>
      <c r="N28" s="13" t="str">
        <f t="shared" si="2"/>
        <v>mobile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6"/>
      <c r="C29" s="7"/>
      <c r="D29" s="8"/>
      <c r="E29" s="9"/>
      <c r="F29" s="10"/>
      <c r="G29" s="10"/>
      <c r="H29" s="10"/>
      <c r="I29" s="11"/>
      <c r="J29" s="11"/>
      <c r="K29" s="10"/>
      <c r="L29" s="17"/>
      <c r="M29" s="13" t="str">
        <f t="shared" si="1"/>
        <v/>
      </c>
      <c r="N29" s="13" t="str">
        <f t="shared" si="2"/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6"/>
      <c r="C30" s="7"/>
      <c r="D30" s="14"/>
      <c r="E30" s="9"/>
      <c r="F30" s="10"/>
      <c r="G30" s="10"/>
      <c r="H30" s="10"/>
      <c r="I30" s="11"/>
      <c r="J30" s="11"/>
      <c r="K30" s="10"/>
      <c r="L30" s="17"/>
      <c r="M30" s="13" t="str">
        <f t="shared" si="1"/>
        <v/>
      </c>
      <c r="N30" s="13" t="str">
        <f t="shared" si="2"/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6" t="s">
        <v>38</v>
      </c>
      <c r="C31" s="7" t="s">
        <v>87</v>
      </c>
      <c r="D31" s="8" t="s">
        <v>122</v>
      </c>
      <c r="E31" s="9" t="s">
        <v>123</v>
      </c>
      <c r="F31" s="10" t="s">
        <v>124</v>
      </c>
      <c r="G31" s="10" t="s">
        <v>125</v>
      </c>
      <c r="H31" s="10" t="s">
        <v>37</v>
      </c>
      <c r="I31" s="11">
        <v>46119.0</v>
      </c>
      <c r="J31" s="15">
        <v>46119.0</v>
      </c>
      <c r="K31" s="12" t="s">
        <v>20</v>
      </c>
      <c r="L31" s="17"/>
      <c r="M31" s="13" t="str">
        <f t="shared" si="1"/>
        <v>mobile</v>
      </c>
      <c r="N31" s="13" t="str">
        <f t="shared" si="2"/>
        <v>mobile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6" t="s">
        <v>38</v>
      </c>
      <c r="C32" s="7" t="s">
        <v>87</v>
      </c>
      <c r="D32" s="14"/>
      <c r="E32" s="9" t="s">
        <v>123</v>
      </c>
      <c r="F32" s="10" t="s">
        <v>124</v>
      </c>
      <c r="G32" s="10" t="s">
        <v>126</v>
      </c>
      <c r="H32" s="10" t="s">
        <v>37</v>
      </c>
      <c r="I32" s="11">
        <v>46119.0</v>
      </c>
      <c r="J32" s="11">
        <v>46119.0</v>
      </c>
      <c r="K32" s="10" t="s">
        <v>20</v>
      </c>
      <c r="L32" s="17"/>
      <c r="M32" s="13" t="str">
        <f t="shared" si="1"/>
        <v>mobile</v>
      </c>
      <c r="N32" s="13" t="str">
        <f t="shared" si="2"/>
        <v>mobile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6" t="s">
        <v>127</v>
      </c>
      <c r="C33" s="7" t="s">
        <v>128</v>
      </c>
      <c r="D33" s="8" t="s">
        <v>129</v>
      </c>
      <c r="E33" s="9" t="s">
        <v>130</v>
      </c>
      <c r="F33" s="10" t="s">
        <v>131</v>
      </c>
      <c r="G33" s="10" t="s">
        <v>132</v>
      </c>
      <c r="H33" s="10" t="s">
        <v>37</v>
      </c>
      <c r="I33" s="11">
        <v>46116.0</v>
      </c>
      <c r="J33" s="15">
        <v>46116.0</v>
      </c>
      <c r="K33" s="12" t="s">
        <v>20</v>
      </c>
      <c r="L33" s="17"/>
      <c r="M33" s="13" t="str">
        <f t="shared" si="1"/>
        <v>mobile</v>
      </c>
      <c r="N33" s="13" t="str">
        <f t="shared" si="2"/>
        <v>mobile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6" t="s">
        <v>13</v>
      </c>
      <c r="C34" s="7" t="s">
        <v>14</v>
      </c>
      <c r="D34" s="14" t="s">
        <v>133</v>
      </c>
      <c r="E34" s="9" t="s">
        <v>134</v>
      </c>
      <c r="F34" s="10" t="s">
        <v>135</v>
      </c>
      <c r="G34" s="10" t="s">
        <v>136</v>
      </c>
      <c r="H34" s="10" t="s">
        <v>25</v>
      </c>
      <c r="I34" s="11">
        <v>46119.0</v>
      </c>
      <c r="J34" s="15">
        <v>46119.0</v>
      </c>
      <c r="K34" s="12" t="s">
        <v>20</v>
      </c>
      <c r="L34" s="17"/>
      <c r="M34" s="13" t="str">
        <f t="shared" si="1"/>
        <v>mobile</v>
      </c>
      <c r="N34" s="13" t="str">
        <f t="shared" si="2"/>
        <v>mobile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6" t="s">
        <v>13</v>
      </c>
      <c r="C35" s="7" t="s">
        <v>14</v>
      </c>
      <c r="D35" s="8"/>
      <c r="E35" s="9" t="s">
        <v>134</v>
      </c>
      <c r="F35" s="10" t="s">
        <v>135</v>
      </c>
      <c r="G35" s="10" t="s">
        <v>137</v>
      </c>
      <c r="H35" s="10" t="s">
        <v>25</v>
      </c>
      <c r="I35" s="11">
        <v>46119.0</v>
      </c>
      <c r="J35" s="11">
        <v>46119.0</v>
      </c>
      <c r="K35" s="10" t="s">
        <v>20</v>
      </c>
      <c r="L35" s="17"/>
      <c r="M35" s="13" t="str">
        <f t="shared" si="1"/>
        <v>mobile</v>
      </c>
      <c r="N35" s="13" t="str">
        <f t="shared" si="2"/>
        <v>mobile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6" t="s">
        <v>86</v>
      </c>
      <c r="C36" s="7" t="s">
        <v>96</v>
      </c>
      <c r="D36" s="8" t="s">
        <v>138</v>
      </c>
      <c r="E36" s="9" t="s">
        <v>139</v>
      </c>
      <c r="F36" s="10" t="s">
        <v>140</v>
      </c>
      <c r="G36" s="10" t="s">
        <v>141</v>
      </c>
      <c r="H36" s="10" t="s">
        <v>44</v>
      </c>
      <c r="I36" s="11">
        <v>46123.0</v>
      </c>
      <c r="J36" s="11">
        <v>46125.0</v>
      </c>
      <c r="K36" s="10" t="s">
        <v>20</v>
      </c>
      <c r="L36" s="17"/>
      <c r="M36" s="13" t="str">
        <f t="shared" si="1"/>
        <v>fissa </v>
      </c>
      <c r="N36" s="13" t="str">
        <f t="shared" si="2"/>
        <v>fissa 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6" t="s">
        <v>13</v>
      </c>
      <c r="C37" s="7" t="s">
        <v>142</v>
      </c>
      <c r="D37" s="8" t="s">
        <v>143</v>
      </c>
      <c r="E37" s="9" t="s">
        <v>144</v>
      </c>
      <c r="F37" s="10" t="s">
        <v>145</v>
      </c>
      <c r="G37" s="10" t="s">
        <v>146</v>
      </c>
      <c r="H37" s="10" t="s">
        <v>37</v>
      </c>
      <c r="I37" s="11">
        <v>46124.0</v>
      </c>
      <c r="J37" s="11">
        <v>46124.0</v>
      </c>
      <c r="K37" s="10" t="s">
        <v>20</v>
      </c>
      <c r="L37" s="17"/>
      <c r="M37" s="13" t="str">
        <f t="shared" si="1"/>
        <v>mobile</v>
      </c>
      <c r="N37" s="13" t="str">
        <f t="shared" si="2"/>
        <v>mobile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6" t="s">
        <v>38</v>
      </c>
      <c r="C38" s="7" t="s">
        <v>39</v>
      </c>
      <c r="D38" s="14" t="s">
        <v>147</v>
      </c>
      <c r="E38" s="9" t="s">
        <v>148</v>
      </c>
      <c r="F38" s="10" t="s">
        <v>149</v>
      </c>
      <c r="G38" s="10" t="s">
        <v>150</v>
      </c>
      <c r="H38" s="10" t="s">
        <v>66</v>
      </c>
      <c r="I38" s="11">
        <v>46124.0</v>
      </c>
      <c r="J38" s="11">
        <v>46126.0</v>
      </c>
      <c r="K38" s="10" t="s">
        <v>20</v>
      </c>
      <c r="L38" s="17"/>
      <c r="M38" s="13" t="str">
        <f t="shared" si="1"/>
        <v>mobile</v>
      </c>
      <c r="N38" s="13" t="str">
        <f t="shared" si="2"/>
        <v>mobile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6" t="s">
        <v>38</v>
      </c>
      <c r="C39" s="7" t="s">
        <v>39</v>
      </c>
      <c r="D39" s="8"/>
      <c r="E39" s="9" t="s">
        <v>148</v>
      </c>
      <c r="F39" s="10" t="s">
        <v>149</v>
      </c>
      <c r="G39" s="10" t="s">
        <v>151</v>
      </c>
      <c r="H39" s="10" t="s">
        <v>68</v>
      </c>
      <c r="I39" s="11">
        <v>46124.0</v>
      </c>
      <c r="J39" s="11">
        <v>46126.0</v>
      </c>
      <c r="K39" s="10" t="s">
        <v>20</v>
      </c>
      <c r="L39" s="17"/>
      <c r="M39" s="13" t="str">
        <f t="shared" si="1"/>
        <v>fissa </v>
      </c>
      <c r="N39" s="13" t="str">
        <f t="shared" si="2"/>
        <v>fissa 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6" t="s">
        <v>116</v>
      </c>
      <c r="C40" s="7" t="s">
        <v>117</v>
      </c>
      <c r="D40" s="8" t="s">
        <v>152</v>
      </c>
      <c r="E40" s="9" t="s">
        <v>153</v>
      </c>
      <c r="F40" s="10" t="s">
        <v>154</v>
      </c>
      <c r="G40" s="10" t="s">
        <v>155</v>
      </c>
      <c r="H40" s="10" t="s">
        <v>44</v>
      </c>
      <c r="I40" s="11">
        <v>46122.0</v>
      </c>
      <c r="J40" s="11">
        <v>46123.0</v>
      </c>
      <c r="K40" s="10" t="s">
        <v>20</v>
      </c>
      <c r="L40" s="17"/>
      <c r="M40" s="13" t="str">
        <f t="shared" si="1"/>
        <v>fissa </v>
      </c>
      <c r="N40" s="13" t="str">
        <f t="shared" si="2"/>
        <v>fissa 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6" t="s">
        <v>55</v>
      </c>
      <c r="C41" s="7" t="s">
        <v>56</v>
      </c>
      <c r="D41" s="8" t="s">
        <v>156</v>
      </c>
      <c r="E41" s="9" t="s">
        <v>157</v>
      </c>
      <c r="F41" s="10" t="s">
        <v>158</v>
      </c>
      <c r="G41" s="10" t="s">
        <v>159</v>
      </c>
      <c r="H41" s="10" t="s">
        <v>66</v>
      </c>
      <c r="I41" s="11">
        <v>46120.0</v>
      </c>
      <c r="J41" s="11">
        <v>46121.0</v>
      </c>
      <c r="K41" s="10" t="s">
        <v>20</v>
      </c>
      <c r="L41" s="17"/>
      <c r="M41" s="13" t="str">
        <f t="shared" si="1"/>
        <v>mobile</v>
      </c>
      <c r="N41" s="13" t="str">
        <f t="shared" si="2"/>
        <v>mobile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6" t="s">
        <v>55</v>
      </c>
      <c r="C42" s="7" t="s">
        <v>56</v>
      </c>
      <c r="D42" s="18"/>
      <c r="E42" s="9" t="s">
        <v>157</v>
      </c>
      <c r="F42" s="10" t="s">
        <v>158</v>
      </c>
      <c r="G42" s="10" t="s">
        <v>160</v>
      </c>
      <c r="H42" s="10" t="s">
        <v>68</v>
      </c>
      <c r="I42" s="11">
        <v>46120.0</v>
      </c>
      <c r="J42" s="11">
        <v>46121.0</v>
      </c>
      <c r="K42" s="10" t="s">
        <v>20</v>
      </c>
      <c r="L42" s="17"/>
      <c r="M42" s="13" t="str">
        <f t="shared" si="1"/>
        <v>fissa </v>
      </c>
      <c r="N42" s="13" t="str">
        <f t="shared" si="2"/>
        <v>fissa 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6" t="s">
        <v>116</v>
      </c>
      <c r="C43" s="7" t="s">
        <v>117</v>
      </c>
      <c r="D43" s="14" t="s">
        <v>161</v>
      </c>
      <c r="E43" s="9" t="s">
        <v>119</v>
      </c>
      <c r="F43" s="10" t="s">
        <v>120</v>
      </c>
      <c r="G43" s="10" t="s">
        <v>91</v>
      </c>
      <c r="H43" s="10" t="s">
        <v>54</v>
      </c>
      <c r="I43" s="11">
        <v>46126.0</v>
      </c>
      <c r="J43" s="11"/>
      <c r="K43" s="10"/>
      <c r="L43" s="17"/>
      <c r="M43" s="13" t="str">
        <f t="shared" si="1"/>
        <v>easy r</v>
      </c>
      <c r="N43" s="13" t="str">
        <f t="shared" si="2"/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6" t="s">
        <v>55</v>
      </c>
      <c r="C44" s="7" t="s">
        <v>56</v>
      </c>
      <c r="D44" s="8" t="s">
        <v>162</v>
      </c>
      <c r="E44" s="9" t="s">
        <v>163</v>
      </c>
      <c r="F44" s="10" t="s">
        <v>164</v>
      </c>
      <c r="G44" s="10" t="s">
        <v>165</v>
      </c>
      <c r="H44" s="10" t="s">
        <v>37</v>
      </c>
      <c r="I44" s="11">
        <v>46125.0</v>
      </c>
      <c r="J44" s="11">
        <v>46126.0</v>
      </c>
      <c r="K44" s="10" t="s">
        <v>20</v>
      </c>
      <c r="L44" s="17"/>
      <c r="M44" s="13" t="str">
        <f t="shared" si="1"/>
        <v>mobile</v>
      </c>
      <c r="N44" s="13" t="str">
        <f t="shared" si="2"/>
        <v>mobile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6" t="s">
        <v>26</v>
      </c>
      <c r="C45" s="7" t="s">
        <v>27</v>
      </c>
      <c r="D45" s="14" t="s">
        <v>166</v>
      </c>
      <c r="E45" s="9" t="s">
        <v>167</v>
      </c>
      <c r="F45" s="10" t="s">
        <v>168</v>
      </c>
      <c r="G45" s="10" t="s">
        <v>169</v>
      </c>
      <c r="H45" s="10" t="s">
        <v>44</v>
      </c>
      <c r="I45" s="11">
        <v>46125.0</v>
      </c>
      <c r="J45" s="11">
        <v>46126.0</v>
      </c>
      <c r="K45" s="10" t="s">
        <v>20</v>
      </c>
      <c r="L45" s="17"/>
      <c r="M45" s="13" t="str">
        <f t="shared" si="1"/>
        <v>fissa </v>
      </c>
      <c r="N45" s="13" t="str">
        <f t="shared" si="2"/>
        <v>fissa 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" t="s">
        <v>26</v>
      </c>
      <c r="C46" s="7" t="s">
        <v>27</v>
      </c>
      <c r="D46" s="14" t="s">
        <v>170</v>
      </c>
      <c r="E46" s="9" t="s">
        <v>167</v>
      </c>
      <c r="F46" s="10" t="s">
        <v>168</v>
      </c>
      <c r="G46" s="10" t="s">
        <v>171</v>
      </c>
      <c r="H46" s="10" t="s">
        <v>66</v>
      </c>
      <c r="I46" s="11">
        <v>46126.0</v>
      </c>
      <c r="J46" s="11">
        <v>46127.0</v>
      </c>
      <c r="K46" s="10" t="s">
        <v>20</v>
      </c>
      <c r="L46" s="17"/>
      <c r="M46" s="13" t="str">
        <f t="shared" si="1"/>
        <v>mobile</v>
      </c>
      <c r="N46" s="13" t="str">
        <f t="shared" si="2"/>
        <v>mobile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6" t="s">
        <v>26</v>
      </c>
      <c r="C47" s="7" t="s">
        <v>27</v>
      </c>
      <c r="D47" s="14"/>
      <c r="E47" s="9" t="s">
        <v>167</v>
      </c>
      <c r="F47" s="10" t="s">
        <v>168</v>
      </c>
      <c r="G47" s="10" t="s">
        <v>172</v>
      </c>
      <c r="H47" s="10" t="s">
        <v>68</v>
      </c>
      <c r="I47" s="11">
        <v>46126.0</v>
      </c>
      <c r="J47" s="11">
        <v>46127.0</v>
      </c>
      <c r="K47" s="10" t="s">
        <v>20</v>
      </c>
      <c r="L47" s="17"/>
      <c r="M47" s="13" t="str">
        <f t="shared" si="1"/>
        <v>fissa </v>
      </c>
      <c r="N47" s="13" t="str">
        <f t="shared" si="2"/>
        <v>fissa 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6" t="s">
        <v>75</v>
      </c>
      <c r="C48" s="7" t="s">
        <v>76</v>
      </c>
      <c r="D48" s="14" t="s">
        <v>173</v>
      </c>
      <c r="E48" s="9" t="s">
        <v>174</v>
      </c>
      <c r="F48" s="10" t="s">
        <v>175</v>
      </c>
      <c r="G48" s="10" t="s">
        <v>176</v>
      </c>
      <c r="H48" s="10" t="s">
        <v>25</v>
      </c>
      <c r="I48" s="11">
        <v>46128.0</v>
      </c>
      <c r="J48" s="11"/>
      <c r="K48" s="10"/>
      <c r="L48" s="17"/>
      <c r="M48" s="13" t="str">
        <f t="shared" si="1"/>
        <v>mobile</v>
      </c>
      <c r="N48" s="13" t="str">
        <f t="shared" si="2"/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6" t="s">
        <v>75</v>
      </c>
      <c r="C49" s="7" t="s">
        <v>76</v>
      </c>
      <c r="D49" s="14"/>
      <c r="E49" s="9" t="s">
        <v>174</v>
      </c>
      <c r="F49" s="10" t="s">
        <v>175</v>
      </c>
      <c r="G49" s="10" t="s">
        <v>177</v>
      </c>
      <c r="H49" s="10" t="s">
        <v>25</v>
      </c>
      <c r="I49" s="11">
        <v>46128.0</v>
      </c>
      <c r="J49" s="11"/>
      <c r="K49" s="10"/>
      <c r="L49" s="17"/>
      <c r="M49" s="13" t="str">
        <f t="shared" si="1"/>
        <v>mobile</v>
      </c>
      <c r="N49" s="13" t="str">
        <f t="shared" si="2"/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6" t="s">
        <v>75</v>
      </c>
      <c r="C50" s="7" t="s">
        <v>14</v>
      </c>
      <c r="D50" s="8" t="s">
        <v>178</v>
      </c>
      <c r="E50" s="9" t="s">
        <v>179</v>
      </c>
      <c r="F50" s="10" t="s">
        <v>180</v>
      </c>
      <c r="G50" s="10" t="s">
        <v>181</v>
      </c>
      <c r="H50" s="10" t="s">
        <v>44</v>
      </c>
      <c r="I50" s="11">
        <v>46129.0</v>
      </c>
      <c r="J50" s="11">
        <v>46130.0</v>
      </c>
      <c r="K50" s="10" t="s">
        <v>20</v>
      </c>
      <c r="L50" s="17"/>
      <c r="M50" s="13" t="str">
        <f t="shared" si="1"/>
        <v>fissa </v>
      </c>
      <c r="N50" s="13" t="str">
        <f t="shared" si="2"/>
        <v>fissa 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6" t="s">
        <v>13</v>
      </c>
      <c r="C51" s="7" t="s">
        <v>142</v>
      </c>
      <c r="D51" s="14" t="s">
        <v>182</v>
      </c>
      <c r="E51" s="9" t="s">
        <v>183</v>
      </c>
      <c r="F51" s="10" t="s">
        <v>184</v>
      </c>
      <c r="G51" s="10" t="s">
        <v>185</v>
      </c>
      <c r="H51" s="10" t="s">
        <v>37</v>
      </c>
      <c r="I51" s="19">
        <v>46126.0</v>
      </c>
      <c r="J51" s="11">
        <v>46126.0</v>
      </c>
      <c r="K51" s="10" t="s">
        <v>20</v>
      </c>
      <c r="L51" s="17"/>
      <c r="M51" s="13" t="str">
        <f t="shared" si="1"/>
        <v>mobile</v>
      </c>
      <c r="N51" s="13" t="str">
        <f t="shared" si="2"/>
        <v>mobile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6" t="s">
        <v>13</v>
      </c>
      <c r="C52" s="7" t="s">
        <v>142</v>
      </c>
      <c r="D52" s="8"/>
      <c r="E52" s="9" t="s">
        <v>183</v>
      </c>
      <c r="F52" s="10" t="s">
        <v>184</v>
      </c>
      <c r="G52" s="10" t="s">
        <v>186</v>
      </c>
      <c r="H52" s="10" t="s">
        <v>37</v>
      </c>
      <c r="I52" s="11">
        <v>46126.0</v>
      </c>
      <c r="J52" s="11">
        <v>46126.0</v>
      </c>
      <c r="K52" s="10" t="s">
        <v>20</v>
      </c>
      <c r="L52" s="17"/>
      <c r="M52" s="13" t="str">
        <f t="shared" si="1"/>
        <v>mobile</v>
      </c>
      <c r="N52" s="13" t="str">
        <f t="shared" si="2"/>
        <v>mobile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6" t="s">
        <v>38</v>
      </c>
      <c r="C53" s="7" t="s">
        <v>39</v>
      </c>
      <c r="D53" s="8" t="s">
        <v>187</v>
      </c>
      <c r="E53" s="9" t="s">
        <v>188</v>
      </c>
      <c r="F53" s="10" t="s">
        <v>189</v>
      </c>
      <c r="G53" s="10" t="s">
        <v>190</v>
      </c>
      <c r="H53" s="10" t="s">
        <v>37</v>
      </c>
      <c r="I53" s="11">
        <v>46126.0</v>
      </c>
      <c r="J53" s="11">
        <v>46127.0</v>
      </c>
      <c r="K53" s="10" t="s">
        <v>20</v>
      </c>
      <c r="L53" s="17"/>
      <c r="M53" s="13" t="str">
        <f t="shared" si="1"/>
        <v>mobile</v>
      </c>
      <c r="N53" s="13" t="str">
        <f t="shared" si="2"/>
        <v>mobile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6" t="s">
        <v>116</v>
      </c>
      <c r="C54" s="7" t="s">
        <v>117</v>
      </c>
      <c r="D54" s="8" t="s">
        <v>191</v>
      </c>
      <c r="E54" s="9" t="s">
        <v>192</v>
      </c>
      <c r="F54" s="10" t="s">
        <v>193</v>
      </c>
      <c r="G54" s="10" t="s">
        <v>194</v>
      </c>
      <c r="H54" s="10" t="s">
        <v>37</v>
      </c>
      <c r="I54" s="11">
        <v>46128.0</v>
      </c>
      <c r="J54" s="11">
        <v>46129.0</v>
      </c>
      <c r="K54" s="10" t="s">
        <v>20</v>
      </c>
      <c r="L54" s="17"/>
      <c r="M54" s="13" t="str">
        <f t="shared" si="1"/>
        <v>mobile</v>
      </c>
      <c r="N54" s="13" t="str">
        <f t="shared" si="2"/>
        <v>mobile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6" t="s">
        <v>116</v>
      </c>
      <c r="C55" s="7" t="s">
        <v>117</v>
      </c>
      <c r="D55" s="8"/>
      <c r="E55" s="9" t="s">
        <v>192</v>
      </c>
      <c r="F55" s="10" t="s">
        <v>193</v>
      </c>
      <c r="G55" s="10" t="s">
        <v>91</v>
      </c>
      <c r="H55" s="10" t="s">
        <v>54</v>
      </c>
      <c r="I55" s="11">
        <v>46128.0</v>
      </c>
      <c r="J55" s="11"/>
      <c r="K55" s="10"/>
      <c r="L55" s="17"/>
      <c r="M55" s="13" t="str">
        <f t="shared" si="1"/>
        <v>easy r</v>
      </c>
      <c r="N55" s="13" t="str">
        <f t="shared" si="2"/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6" t="s">
        <v>195</v>
      </c>
      <c r="C56" s="7"/>
      <c r="D56" s="8" t="s">
        <v>196</v>
      </c>
      <c r="E56" s="9" t="s">
        <v>197</v>
      </c>
      <c r="F56" s="10" t="s">
        <v>198</v>
      </c>
      <c r="G56" s="10" t="s">
        <v>199</v>
      </c>
      <c r="H56" s="10" t="s">
        <v>66</v>
      </c>
      <c r="I56" s="11">
        <v>46126.0</v>
      </c>
      <c r="J56" s="11">
        <v>46127.0</v>
      </c>
      <c r="K56" s="10" t="s">
        <v>20</v>
      </c>
      <c r="L56" s="17"/>
      <c r="M56" s="13" t="str">
        <f t="shared" si="1"/>
        <v>mobile</v>
      </c>
      <c r="N56" s="13" t="str">
        <f t="shared" si="2"/>
        <v>mobile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6" t="s">
        <v>195</v>
      </c>
      <c r="C57" s="7"/>
      <c r="D57" s="8"/>
      <c r="E57" s="9" t="s">
        <v>197</v>
      </c>
      <c r="F57" s="10" t="s">
        <v>198</v>
      </c>
      <c r="G57" s="10" t="s">
        <v>200</v>
      </c>
      <c r="H57" s="10" t="s">
        <v>68</v>
      </c>
      <c r="I57" s="11">
        <v>46126.0</v>
      </c>
      <c r="J57" s="11">
        <v>46127.0</v>
      </c>
      <c r="K57" s="10" t="s">
        <v>20</v>
      </c>
      <c r="L57" s="17"/>
      <c r="M57" s="13" t="str">
        <f t="shared" si="1"/>
        <v>fissa </v>
      </c>
      <c r="N57" s="13" t="str">
        <f t="shared" si="2"/>
        <v>fissa 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6" t="s">
        <v>201</v>
      </c>
      <c r="C58" s="7" t="s">
        <v>202</v>
      </c>
      <c r="D58" s="14" t="s">
        <v>203</v>
      </c>
      <c r="E58" s="9" t="s">
        <v>204</v>
      </c>
      <c r="F58" s="10" t="s">
        <v>205</v>
      </c>
      <c r="G58" s="10" t="s">
        <v>206</v>
      </c>
      <c r="H58" s="10" t="s">
        <v>44</v>
      </c>
      <c r="I58" s="11">
        <v>46128.0</v>
      </c>
      <c r="J58" s="11">
        <v>46129.0</v>
      </c>
      <c r="K58" s="10" t="s">
        <v>20</v>
      </c>
      <c r="L58" s="17"/>
      <c r="M58" s="13" t="str">
        <f t="shared" si="1"/>
        <v>fissa </v>
      </c>
      <c r="N58" s="13" t="str">
        <f t="shared" si="2"/>
        <v>fissa 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6" t="s">
        <v>207</v>
      </c>
      <c r="C59" s="7" t="s">
        <v>208</v>
      </c>
      <c r="D59" s="14" t="s">
        <v>209</v>
      </c>
      <c r="E59" s="9" t="s">
        <v>210</v>
      </c>
      <c r="F59" s="10" t="s">
        <v>211</v>
      </c>
      <c r="G59" s="10" t="s">
        <v>212</v>
      </c>
      <c r="H59" s="10" t="s">
        <v>66</v>
      </c>
      <c r="I59" s="11">
        <v>46133.0</v>
      </c>
      <c r="J59" s="15"/>
      <c r="K59" s="12"/>
      <c r="L59" s="17"/>
      <c r="M59" s="13" t="str">
        <f t="shared" si="1"/>
        <v>mobile</v>
      </c>
      <c r="N59" s="13" t="str">
        <f t="shared" si="2"/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6" t="s">
        <v>207</v>
      </c>
      <c r="C60" s="7" t="s">
        <v>208</v>
      </c>
      <c r="D60" s="8"/>
      <c r="E60" s="9" t="s">
        <v>210</v>
      </c>
      <c r="F60" s="10" t="s">
        <v>211</v>
      </c>
      <c r="G60" s="10" t="s">
        <v>213</v>
      </c>
      <c r="H60" s="10" t="s">
        <v>68</v>
      </c>
      <c r="I60" s="20">
        <v>46133.0</v>
      </c>
      <c r="J60" s="11"/>
      <c r="K60" s="10"/>
      <c r="L60" s="17"/>
      <c r="M60" s="13" t="str">
        <f t="shared" si="1"/>
        <v>fissa </v>
      </c>
      <c r="N60" s="13" t="str">
        <f t="shared" si="2"/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6" t="s">
        <v>38</v>
      </c>
      <c r="C61" s="7" t="s">
        <v>39</v>
      </c>
      <c r="D61" s="14" t="s">
        <v>214</v>
      </c>
      <c r="E61" s="9" t="s">
        <v>215</v>
      </c>
      <c r="F61" s="10" t="s">
        <v>216</v>
      </c>
      <c r="G61" s="10" t="s">
        <v>217</v>
      </c>
      <c r="H61" s="10" t="s">
        <v>37</v>
      </c>
      <c r="I61" s="11">
        <v>46128.0</v>
      </c>
      <c r="J61" s="15">
        <v>46128.0</v>
      </c>
      <c r="K61" s="12" t="s">
        <v>20</v>
      </c>
      <c r="L61" s="17"/>
      <c r="M61" s="13" t="str">
        <f t="shared" si="1"/>
        <v>mobile</v>
      </c>
      <c r="N61" s="13" t="str">
        <f t="shared" si="2"/>
        <v>mobile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6" t="s">
        <v>75</v>
      </c>
      <c r="C62" s="7" t="s">
        <v>142</v>
      </c>
      <c r="D62" s="8" t="s">
        <v>218</v>
      </c>
      <c r="E62" s="9" t="s">
        <v>219</v>
      </c>
      <c r="F62" s="10" t="s">
        <v>220</v>
      </c>
      <c r="G62" s="10" t="s">
        <v>221</v>
      </c>
      <c r="H62" s="10" t="s">
        <v>44</v>
      </c>
      <c r="I62" s="11">
        <v>46128.0</v>
      </c>
      <c r="J62" s="11">
        <v>46132.0</v>
      </c>
      <c r="K62" s="10" t="s">
        <v>20</v>
      </c>
      <c r="L62" s="12"/>
      <c r="M62" s="13" t="str">
        <f t="shared" si="1"/>
        <v>fissa </v>
      </c>
      <c r="N62" s="13" t="str">
        <f t="shared" si="2"/>
        <v>fissa 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6"/>
      <c r="C63" s="7"/>
      <c r="D63" s="8"/>
      <c r="E63" s="9"/>
      <c r="F63" s="10"/>
      <c r="G63" s="10"/>
      <c r="H63" s="10"/>
      <c r="I63" s="11"/>
      <c r="J63" s="15"/>
      <c r="K63" s="12"/>
      <c r="L63" s="12"/>
      <c r="M63" s="13" t="str">
        <f t="shared" si="1"/>
        <v/>
      </c>
      <c r="N63" s="13" t="str">
        <f t="shared" si="2"/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6" t="s">
        <v>38</v>
      </c>
      <c r="C64" s="7" t="s">
        <v>61</v>
      </c>
      <c r="D64" s="8" t="s">
        <v>222</v>
      </c>
      <c r="E64" s="9" t="s">
        <v>223</v>
      </c>
      <c r="F64" s="10" t="s">
        <v>224</v>
      </c>
      <c r="G64" s="10" t="s">
        <v>225</v>
      </c>
      <c r="H64" s="10" t="s">
        <v>25</v>
      </c>
      <c r="I64" s="11">
        <v>46129.0</v>
      </c>
      <c r="J64" s="11">
        <v>46129.0</v>
      </c>
      <c r="K64" s="10" t="s">
        <v>20</v>
      </c>
      <c r="L64" s="12"/>
      <c r="M64" s="13" t="str">
        <f t="shared" si="1"/>
        <v>mobile</v>
      </c>
      <c r="N64" s="13" t="str">
        <f t="shared" si="2"/>
        <v>mobile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6" t="s">
        <v>38</v>
      </c>
      <c r="C65" s="7" t="s">
        <v>61</v>
      </c>
      <c r="D65" s="14"/>
      <c r="E65" s="9" t="s">
        <v>223</v>
      </c>
      <c r="F65" s="10" t="s">
        <v>224</v>
      </c>
      <c r="G65" s="10" t="s">
        <v>226</v>
      </c>
      <c r="H65" s="10" t="s">
        <v>25</v>
      </c>
      <c r="I65" s="11">
        <v>46129.0</v>
      </c>
      <c r="J65" s="11">
        <v>46129.0</v>
      </c>
      <c r="K65" s="10" t="s">
        <v>20</v>
      </c>
      <c r="L65" s="12"/>
      <c r="M65" s="13" t="str">
        <f t="shared" si="1"/>
        <v>mobile</v>
      </c>
      <c r="N65" s="13" t="str">
        <f t="shared" si="2"/>
        <v>mobile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6" t="s">
        <v>38</v>
      </c>
      <c r="C66" s="7" t="s">
        <v>61</v>
      </c>
      <c r="D66" s="8"/>
      <c r="E66" s="9" t="s">
        <v>223</v>
      </c>
      <c r="F66" s="10" t="s">
        <v>227</v>
      </c>
      <c r="G66" s="10" t="s">
        <v>228</v>
      </c>
      <c r="H66" s="10" t="s">
        <v>25</v>
      </c>
      <c r="I66" s="11">
        <v>46129.0</v>
      </c>
      <c r="J66" s="11">
        <v>46129.0</v>
      </c>
      <c r="K66" s="10" t="s">
        <v>20</v>
      </c>
      <c r="L66" s="12"/>
      <c r="M66" s="13" t="str">
        <f t="shared" si="1"/>
        <v>mobile</v>
      </c>
      <c r="N66" s="13" t="str">
        <f t="shared" si="2"/>
        <v>mobile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6" t="s">
        <v>116</v>
      </c>
      <c r="C67" s="7" t="s">
        <v>117</v>
      </c>
      <c r="D67" s="14" t="s">
        <v>229</v>
      </c>
      <c r="E67" s="9" t="s">
        <v>230</v>
      </c>
      <c r="F67" s="10" t="s">
        <v>231</v>
      </c>
      <c r="G67" s="10" t="s">
        <v>232</v>
      </c>
      <c r="H67" s="10" t="s">
        <v>44</v>
      </c>
      <c r="I67" s="11">
        <v>46129.0</v>
      </c>
      <c r="J67" s="11">
        <v>46132.0</v>
      </c>
      <c r="K67" s="10" t="s">
        <v>20</v>
      </c>
      <c r="L67" s="12"/>
      <c r="M67" s="13" t="str">
        <f t="shared" si="1"/>
        <v>fissa </v>
      </c>
      <c r="N67" s="13" t="str">
        <f t="shared" si="2"/>
        <v>fissa 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6" t="s">
        <v>38</v>
      </c>
      <c r="C68" s="7" t="s">
        <v>39</v>
      </c>
      <c r="D68" s="8" t="s">
        <v>233</v>
      </c>
      <c r="E68" s="9" t="s">
        <v>234</v>
      </c>
      <c r="F68" s="10" t="s">
        <v>235</v>
      </c>
      <c r="G68" s="10" t="s">
        <v>236</v>
      </c>
      <c r="H68" s="10" t="s">
        <v>66</v>
      </c>
      <c r="I68" s="11">
        <v>46128.0</v>
      </c>
      <c r="J68" s="11">
        <v>46129.0</v>
      </c>
      <c r="K68" s="10" t="s">
        <v>20</v>
      </c>
      <c r="L68" s="12"/>
      <c r="M68" s="13" t="str">
        <f t="shared" si="1"/>
        <v>mobile</v>
      </c>
      <c r="N68" s="13" t="str">
        <f t="shared" si="2"/>
        <v>mobile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6" t="s">
        <v>38</v>
      </c>
      <c r="C69" s="7" t="s">
        <v>39</v>
      </c>
      <c r="D69" s="8"/>
      <c r="E69" s="9" t="s">
        <v>234</v>
      </c>
      <c r="F69" s="10" t="s">
        <v>235</v>
      </c>
      <c r="G69" s="10" t="s">
        <v>237</v>
      </c>
      <c r="H69" s="10" t="s">
        <v>68</v>
      </c>
      <c r="I69" s="11">
        <v>46128.0</v>
      </c>
      <c r="J69" s="11">
        <v>46129.0</v>
      </c>
      <c r="K69" s="10" t="s">
        <v>20</v>
      </c>
      <c r="L69" s="12"/>
      <c r="M69" s="13" t="str">
        <f t="shared" si="1"/>
        <v>fissa </v>
      </c>
      <c r="N69" s="13" t="str">
        <f t="shared" si="2"/>
        <v>fissa 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6" t="s">
        <v>238</v>
      </c>
      <c r="C70" s="7" t="s">
        <v>14</v>
      </c>
      <c r="D70" s="14" t="s">
        <v>239</v>
      </c>
      <c r="E70" s="9" t="s">
        <v>240</v>
      </c>
      <c r="F70" s="10" t="s">
        <v>241</v>
      </c>
      <c r="G70" s="10" t="s">
        <v>242</v>
      </c>
      <c r="H70" s="10" t="s">
        <v>68</v>
      </c>
      <c r="I70" s="11">
        <v>46130.0</v>
      </c>
      <c r="J70" s="11">
        <v>46134.0</v>
      </c>
      <c r="K70" s="10" t="s">
        <v>20</v>
      </c>
      <c r="L70" s="17"/>
      <c r="M70" s="13" t="str">
        <f t="shared" si="1"/>
        <v>fissa </v>
      </c>
      <c r="N70" s="13" t="str">
        <f t="shared" si="2"/>
        <v>fissa 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6" t="s">
        <v>238</v>
      </c>
      <c r="C71" s="7" t="s">
        <v>14</v>
      </c>
      <c r="D71" s="8"/>
      <c r="E71" s="9" t="s">
        <v>240</v>
      </c>
      <c r="F71" s="10" t="s">
        <v>241</v>
      </c>
      <c r="G71" s="10" t="s">
        <v>243</v>
      </c>
      <c r="H71" s="10" t="s">
        <v>66</v>
      </c>
      <c r="I71" s="11">
        <v>46130.0</v>
      </c>
      <c r="J71" s="11">
        <v>46134.0</v>
      </c>
      <c r="K71" s="10" t="s">
        <v>20</v>
      </c>
      <c r="L71" s="17"/>
      <c r="M71" s="13" t="str">
        <f t="shared" si="1"/>
        <v>mobile</v>
      </c>
      <c r="N71" s="13" t="str">
        <f t="shared" si="2"/>
        <v>mobile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6" t="s">
        <v>13</v>
      </c>
      <c r="C72" s="7" t="s">
        <v>14</v>
      </c>
      <c r="D72" s="8" t="s">
        <v>244</v>
      </c>
      <c r="E72" s="9" t="s">
        <v>245</v>
      </c>
      <c r="F72" s="10" t="s">
        <v>246</v>
      </c>
      <c r="G72" s="10" t="s">
        <v>247</v>
      </c>
      <c r="H72" s="10" t="s">
        <v>44</v>
      </c>
      <c r="I72" s="11">
        <v>46131.0</v>
      </c>
      <c r="J72" s="11">
        <v>46134.0</v>
      </c>
      <c r="K72" s="10" t="s">
        <v>20</v>
      </c>
      <c r="L72" s="17"/>
      <c r="M72" s="13" t="str">
        <f t="shared" si="1"/>
        <v>fissa </v>
      </c>
      <c r="N72" s="13" t="str">
        <f t="shared" si="2"/>
        <v>fissa 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6" t="s">
        <v>201</v>
      </c>
      <c r="C73" s="7" t="s">
        <v>202</v>
      </c>
      <c r="D73" s="14" t="s">
        <v>248</v>
      </c>
      <c r="E73" s="9" t="s">
        <v>249</v>
      </c>
      <c r="F73" s="10" t="s">
        <v>250</v>
      </c>
      <c r="G73" s="10" t="s">
        <v>251</v>
      </c>
      <c r="H73" s="10" t="s">
        <v>66</v>
      </c>
      <c r="I73" s="11">
        <v>46130.0</v>
      </c>
      <c r="J73" s="11">
        <v>46133.0</v>
      </c>
      <c r="K73" s="10" t="s">
        <v>20</v>
      </c>
      <c r="L73" s="17"/>
      <c r="M73" s="13" t="str">
        <f t="shared" si="1"/>
        <v>mobile</v>
      </c>
      <c r="N73" s="13" t="str">
        <f t="shared" si="2"/>
        <v>mobile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6" t="s">
        <v>201</v>
      </c>
      <c r="C74" s="7" t="s">
        <v>202</v>
      </c>
      <c r="D74" s="8"/>
      <c r="E74" s="9" t="s">
        <v>249</v>
      </c>
      <c r="F74" s="10" t="s">
        <v>250</v>
      </c>
      <c r="G74" s="10" t="s">
        <v>252</v>
      </c>
      <c r="H74" s="10" t="s">
        <v>68</v>
      </c>
      <c r="I74" s="11">
        <v>46130.0</v>
      </c>
      <c r="J74" s="11">
        <v>46134.0</v>
      </c>
      <c r="K74" s="10" t="s">
        <v>20</v>
      </c>
      <c r="L74" s="17"/>
      <c r="M74" s="13" t="str">
        <f t="shared" si="1"/>
        <v>fissa </v>
      </c>
      <c r="N74" s="13" t="str">
        <f t="shared" si="2"/>
        <v>fissa 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6" t="s">
        <v>201</v>
      </c>
      <c r="C75" s="7" t="s">
        <v>202</v>
      </c>
      <c r="D75" s="18"/>
      <c r="E75" s="9" t="s">
        <v>249</v>
      </c>
      <c r="F75" s="10" t="s">
        <v>250</v>
      </c>
      <c r="G75" s="10" t="s">
        <v>60</v>
      </c>
      <c r="H75" s="10" t="s">
        <v>54</v>
      </c>
      <c r="I75" s="11">
        <v>46130.0</v>
      </c>
      <c r="J75" s="11"/>
      <c r="K75" s="10"/>
      <c r="L75" s="17"/>
      <c r="M75" s="13" t="str">
        <f t="shared" si="1"/>
        <v>easy r</v>
      </c>
      <c r="N75" s="13" t="str">
        <f t="shared" si="2"/>
        <v/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6" t="s">
        <v>38</v>
      </c>
      <c r="C76" s="7" t="s">
        <v>39</v>
      </c>
      <c r="D76" s="8" t="s">
        <v>253</v>
      </c>
      <c r="E76" s="9" t="s">
        <v>223</v>
      </c>
      <c r="F76" s="10" t="s">
        <v>224</v>
      </c>
      <c r="G76" s="10" t="s">
        <v>91</v>
      </c>
      <c r="H76" s="10" t="s">
        <v>54</v>
      </c>
      <c r="I76" s="11">
        <v>46131.0</v>
      </c>
      <c r="J76" s="11"/>
      <c r="K76" s="10"/>
      <c r="L76" s="17"/>
      <c r="M76" s="13" t="str">
        <f t="shared" si="1"/>
        <v>easy r</v>
      </c>
      <c r="N76" s="13" t="str">
        <f t="shared" si="2"/>
        <v/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6" t="s">
        <v>86</v>
      </c>
      <c r="C77" s="7" t="s">
        <v>87</v>
      </c>
      <c r="D77" s="8" t="s">
        <v>254</v>
      </c>
      <c r="E77" s="9" t="s">
        <v>255</v>
      </c>
      <c r="F77" s="10" t="s">
        <v>256</v>
      </c>
      <c r="G77" s="10" t="s">
        <v>257</v>
      </c>
      <c r="H77" s="10" t="s">
        <v>44</v>
      </c>
      <c r="I77" s="11">
        <v>46132.0</v>
      </c>
      <c r="J77" s="15">
        <v>46134.0</v>
      </c>
      <c r="K77" s="12" t="s">
        <v>20</v>
      </c>
      <c r="L77" s="17"/>
      <c r="M77" s="13" t="str">
        <f t="shared" si="1"/>
        <v>fissa </v>
      </c>
      <c r="N77" s="13" t="str">
        <f t="shared" si="2"/>
        <v>fissa 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6" t="s">
        <v>86</v>
      </c>
      <c r="C78" s="7" t="s">
        <v>56</v>
      </c>
      <c r="D78" s="8" t="s">
        <v>258</v>
      </c>
      <c r="E78" s="9" t="s">
        <v>259</v>
      </c>
      <c r="F78" s="10" t="s">
        <v>260</v>
      </c>
      <c r="G78" s="10" t="s">
        <v>261</v>
      </c>
      <c r="H78" s="10" t="s">
        <v>25</v>
      </c>
      <c r="I78" s="11">
        <v>46133.0</v>
      </c>
      <c r="J78" s="11">
        <v>46133.0</v>
      </c>
      <c r="K78" s="10" t="s">
        <v>20</v>
      </c>
      <c r="L78" s="17"/>
      <c r="M78" s="13" t="str">
        <f t="shared" si="1"/>
        <v>mobile</v>
      </c>
      <c r="N78" s="13" t="str">
        <f t="shared" si="2"/>
        <v>mobile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6" t="s">
        <v>238</v>
      </c>
      <c r="C79" s="7" t="s">
        <v>14</v>
      </c>
      <c r="D79" s="14" t="s">
        <v>262</v>
      </c>
      <c r="E79" s="9" t="s">
        <v>263</v>
      </c>
      <c r="F79" s="10" t="s">
        <v>264</v>
      </c>
      <c r="G79" s="10" t="s">
        <v>265</v>
      </c>
      <c r="H79" s="10" t="s">
        <v>44</v>
      </c>
      <c r="I79" s="11">
        <v>46133.0</v>
      </c>
      <c r="J79" s="11">
        <v>46134.0</v>
      </c>
      <c r="K79" s="10" t="s">
        <v>20</v>
      </c>
      <c r="L79" s="17"/>
      <c r="M79" s="13" t="str">
        <f t="shared" si="1"/>
        <v>fissa </v>
      </c>
      <c r="N79" s="13" t="str">
        <f t="shared" si="2"/>
        <v>fissa 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6" t="s">
        <v>238</v>
      </c>
      <c r="C80" s="7" t="s">
        <v>14</v>
      </c>
      <c r="D80" s="8"/>
      <c r="E80" s="9" t="s">
        <v>263</v>
      </c>
      <c r="F80" s="10" t="s">
        <v>264</v>
      </c>
      <c r="G80" s="10" t="s">
        <v>266</v>
      </c>
      <c r="H80" s="10" t="s">
        <v>25</v>
      </c>
      <c r="I80" s="11">
        <v>46133.0</v>
      </c>
      <c r="J80" s="15">
        <v>46134.0</v>
      </c>
      <c r="K80" s="12" t="s">
        <v>20</v>
      </c>
      <c r="L80" s="17"/>
      <c r="M80" s="13" t="str">
        <f t="shared" si="1"/>
        <v>mobile</v>
      </c>
      <c r="N80" s="13" t="str">
        <f t="shared" si="2"/>
        <v>mobile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6" t="s">
        <v>238</v>
      </c>
      <c r="C81" s="7" t="s">
        <v>14</v>
      </c>
      <c r="D81" s="8"/>
      <c r="E81" s="9" t="s">
        <v>263</v>
      </c>
      <c r="F81" s="10" t="s">
        <v>264</v>
      </c>
      <c r="G81" s="10" t="s">
        <v>267</v>
      </c>
      <c r="H81" s="10" t="s">
        <v>25</v>
      </c>
      <c r="I81" s="11">
        <v>46133.0</v>
      </c>
      <c r="J81" s="15">
        <v>46134.0</v>
      </c>
      <c r="K81" s="12" t="s">
        <v>20</v>
      </c>
      <c r="L81" s="17"/>
      <c r="M81" s="13" t="str">
        <f t="shared" si="1"/>
        <v>mobile</v>
      </c>
      <c r="N81" s="13" t="str">
        <f t="shared" si="2"/>
        <v>mobile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6" t="s">
        <v>238</v>
      </c>
      <c r="C82" s="7" t="s">
        <v>14</v>
      </c>
      <c r="D82" s="21"/>
      <c r="E82" s="9" t="s">
        <v>263</v>
      </c>
      <c r="F82" s="10" t="s">
        <v>264</v>
      </c>
      <c r="G82" s="10" t="s">
        <v>268</v>
      </c>
      <c r="H82" s="10" t="s">
        <v>37</v>
      </c>
      <c r="I82" s="11">
        <v>46133.0</v>
      </c>
      <c r="J82" s="11">
        <v>46134.0</v>
      </c>
      <c r="K82" s="10" t="s">
        <v>20</v>
      </c>
      <c r="L82" s="17"/>
      <c r="M82" s="13" t="str">
        <f t="shared" si="1"/>
        <v>mobile</v>
      </c>
      <c r="N82" s="13" t="str">
        <f t="shared" si="2"/>
        <v>mobile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6" t="s">
        <v>238</v>
      </c>
      <c r="C83" s="7" t="s">
        <v>14</v>
      </c>
      <c r="D83" s="14"/>
      <c r="E83" s="9" t="s">
        <v>263</v>
      </c>
      <c r="F83" s="10" t="s">
        <v>264</v>
      </c>
      <c r="G83" s="10" t="s">
        <v>269</v>
      </c>
      <c r="H83" s="10" t="s">
        <v>37</v>
      </c>
      <c r="I83" s="11">
        <v>46133.0</v>
      </c>
      <c r="J83" s="11"/>
      <c r="K83" s="10"/>
      <c r="L83" s="17"/>
      <c r="M83" s="13" t="str">
        <f t="shared" si="1"/>
        <v>mobile</v>
      </c>
      <c r="N83" s="13" t="str">
        <f t="shared" si="2"/>
        <v/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6" t="s">
        <v>238</v>
      </c>
      <c r="C84" s="7" t="s">
        <v>14</v>
      </c>
      <c r="D84" s="14"/>
      <c r="E84" s="9" t="s">
        <v>263</v>
      </c>
      <c r="F84" s="10" t="s">
        <v>264</v>
      </c>
      <c r="G84" s="10" t="s">
        <v>270</v>
      </c>
      <c r="H84" s="10" t="s">
        <v>44</v>
      </c>
      <c r="I84" s="11">
        <v>46133.0</v>
      </c>
      <c r="J84" s="11"/>
      <c r="K84" s="10"/>
      <c r="L84" s="17"/>
      <c r="M84" s="13" t="str">
        <f t="shared" si="1"/>
        <v>fissa </v>
      </c>
      <c r="N84" s="13" t="str">
        <f t="shared" si="2"/>
        <v/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6" t="s">
        <v>238</v>
      </c>
      <c r="C85" s="7" t="s">
        <v>14</v>
      </c>
      <c r="D85" s="8" t="s">
        <v>271</v>
      </c>
      <c r="E85" s="9" t="s">
        <v>272</v>
      </c>
      <c r="F85" s="10" t="s">
        <v>273</v>
      </c>
      <c r="G85" s="10" t="s">
        <v>274</v>
      </c>
      <c r="H85" s="10" t="s">
        <v>25</v>
      </c>
      <c r="I85" s="11">
        <v>46133.0</v>
      </c>
      <c r="J85" s="11">
        <v>46133.0</v>
      </c>
      <c r="K85" s="10" t="s">
        <v>20</v>
      </c>
      <c r="L85" s="17"/>
      <c r="M85" s="13" t="str">
        <f t="shared" si="1"/>
        <v>mobile</v>
      </c>
      <c r="N85" s="13" t="str">
        <f t="shared" si="2"/>
        <v>mobile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6" t="s">
        <v>238</v>
      </c>
      <c r="C86" s="7" t="s">
        <v>128</v>
      </c>
      <c r="D86" s="22"/>
      <c r="E86" s="9" t="s">
        <v>272</v>
      </c>
      <c r="F86" s="10" t="s">
        <v>273</v>
      </c>
      <c r="G86" s="10" t="s">
        <v>275</v>
      </c>
      <c r="H86" s="10" t="s">
        <v>25</v>
      </c>
      <c r="I86" s="11">
        <v>46133.0</v>
      </c>
      <c r="J86" s="11">
        <v>46133.0</v>
      </c>
      <c r="K86" s="10" t="s">
        <v>20</v>
      </c>
      <c r="L86" s="17"/>
      <c r="M86" s="13" t="str">
        <f t="shared" si="1"/>
        <v>mobile</v>
      </c>
      <c r="N86" s="13" t="str">
        <f t="shared" si="2"/>
        <v>mobile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6" t="s">
        <v>26</v>
      </c>
      <c r="C87" s="7" t="s">
        <v>27</v>
      </c>
      <c r="D87" s="14" t="s">
        <v>276</v>
      </c>
      <c r="E87" s="9" t="s">
        <v>277</v>
      </c>
      <c r="F87" s="10" t="s">
        <v>278</v>
      </c>
      <c r="G87" s="10" t="s">
        <v>279</v>
      </c>
      <c r="H87" s="10" t="s">
        <v>44</v>
      </c>
      <c r="I87" s="11">
        <v>46133.0</v>
      </c>
      <c r="J87" s="11"/>
      <c r="K87" s="10"/>
      <c r="L87" s="17"/>
      <c r="M87" s="13" t="str">
        <f t="shared" si="1"/>
        <v>fissa </v>
      </c>
      <c r="N87" s="13" t="str">
        <f t="shared" si="2"/>
        <v/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6" t="s">
        <v>75</v>
      </c>
      <c r="C88" s="7" t="s">
        <v>76</v>
      </c>
      <c r="D88" s="8" t="s">
        <v>280</v>
      </c>
      <c r="E88" s="9" t="s">
        <v>281</v>
      </c>
      <c r="F88" s="10" t="s">
        <v>282</v>
      </c>
      <c r="G88" s="10" t="s">
        <v>283</v>
      </c>
      <c r="H88" s="10" t="s">
        <v>44</v>
      </c>
      <c r="I88" s="11">
        <v>46134.0</v>
      </c>
      <c r="J88" s="11"/>
      <c r="K88" s="10"/>
      <c r="L88" s="17"/>
      <c r="M88" s="13" t="str">
        <f t="shared" si="1"/>
        <v>fissa </v>
      </c>
      <c r="N88" s="13" t="str">
        <f t="shared" si="2"/>
        <v/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6" t="s">
        <v>75</v>
      </c>
      <c r="C89" s="7" t="s">
        <v>76</v>
      </c>
      <c r="D89" s="8"/>
      <c r="E89" s="9" t="s">
        <v>281</v>
      </c>
      <c r="F89" s="10" t="s">
        <v>282</v>
      </c>
      <c r="G89" s="10" t="s">
        <v>284</v>
      </c>
      <c r="H89" s="10" t="s">
        <v>25</v>
      </c>
      <c r="I89" s="11">
        <v>46134.0</v>
      </c>
      <c r="J89" s="11"/>
      <c r="K89" s="10"/>
      <c r="L89" s="17"/>
      <c r="M89" s="13" t="str">
        <f t="shared" si="1"/>
        <v>mobile</v>
      </c>
      <c r="N89" s="13" t="str">
        <f t="shared" si="2"/>
        <v/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6" t="s">
        <v>75</v>
      </c>
      <c r="C90" s="7" t="s">
        <v>76</v>
      </c>
      <c r="D90" s="8"/>
      <c r="E90" s="9" t="s">
        <v>281</v>
      </c>
      <c r="F90" s="10" t="s">
        <v>282</v>
      </c>
      <c r="G90" s="10" t="s">
        <v>91</v>
      </c>
      <c r="H90" s="10" t="s">
        <v>54</v>
      </c>
      <c r="I90" s="11">
        <v>46134.0</v>
      </c>
      <c r="J90" s="15"/>
      <c r="K90" s="12"/>
      <c r="L90" s="17"/>
      <c r="M90" s="13" t="str">
        <f t="shared" si="1"/>
        <v>easy r</v>
      </c>
      <c r="N90" s="13" t="str">
        <f t="shared" si="2"/>
        <v/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6" t="s">
        <v>38</v>
      </c>
      <c r="C91" s="7" t="s">
        <v>39</v>
      </c>
      <c r="D91" s="14" t="s">
        <v>285</v>
      </c>
      <c r="E91" s="9" t="s">
        <v>286</v>
      </c>
      <c r="F91" s="10" t="s">
        <v>287</v>
      </c>
      <c r="G91" s="10" t="s">
        <v>288</v>
      </c>
      <c r="H91" s="10" t="s">
        <v>66</v>
      </c>
      <c r="I91" s="11">
        <v>46134.0</v>
      </c>
      <c r="J91" s="15"/>
      <c r="K91" s="12"/>
      <c r="L91" s="17"/>
      <c r="M91" s="13" t="str">
        <f t="shared" si="1"/>
        <v>mobile</v>
      </c>
      <c r="N91" s="13" t="str">
        <f t="shared" si="2"/>
        <v/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6" t="s">
        <v>38</v>
      </c>
      <c r="C92" s="7" t="s">
        <v>39</v>
      </c>
      <c r="D92" s="8"/>
      <c r="E92" s="9" t="s">
        <v>286</v>
      </c>
      <c r="F92" s="10" t="s">
        <v>287</v>
      </c>
      <c r="G92" s="10" t="s">
        <v>289</v>
      </c>
      <c r="H92" s="10" t="s">
        <v>68</v>
      </c>
      <c r="I92" s="11">
        <v>46134.0</v>
      </c>
      <c r="J92" s="11"/>
      <c r="K92" s="10"/>
      <c r="L92" s="17"/>
      <c r="M92" s="13" t="str">
        <f t="shared" si="1"/>
        <v>fissa </v>
      </c>
      <c r="N92" s="13" t="str">
        <f t="shared" si="2"/>
        <v/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6" t="s">
        <v>38</v>
      </c>
      <c r="C93" s="7" t="s">
        <v>39</v>
      </c>
      <c r="D93" s="14"/>
      <c r="E93" s="9" t="s">
        <v>286</v>
      </c>
      <c r="F93" s="10" t="s">
        <v>287</v>
      </c>
      <c r="G93" s="10" t="s">
        <v>290</v>
      </c>
      <c r="H93" s="10" t="s">
        <v>25</v>
      </c>
      <c r="I93" s="11">
        <v>46134.0</v>
      </c>
      <c r="J93" s="11"/>
      <c r="K93" s="10"/>
      <c r="L93" s="17"/>
      <c r="M93" s="13" t="str">
        <f t="shared" si="1"/>
        <v>mobile</v>
      </c>
      <c r="N93" s="13" t="str">
        <f t="shared" si="2"/>
        <v/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6" t="s">
        <v>38</v>
      </c>
      <c r="C94" s="7" t="s">
        <v>39</v>
      </c>
      <c r="D94" s="8"/>
      <c r="E94" s="9" t="s">
        <v>286</v>
      </c>
      <c r="F94" s="10" t="s">
        <v>287</v>
      </c>
      <c r="G94" s="9" t="s">
        <v>291</v>
      </c>
      <c r="H94" s="10" t="s">
        <v>25</v>
      </c>
      <c r="I94" s="11">
        <v>46134.0</v>
      </c>
      <c r="J94" s="15"/>
      <c r="K94" s="12"/>
      <c r="L94" s="17"/>
      <c r="M94" s="13" t="str">
        <f t="shared" si="1"/>
        <v>mobile</v>
      </c>
      <c r="N94" s="13" t="str">
        <f t="shared" si="2"/>
        <v/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6"/>
      <c r="C95" s="7"/>
      <c r="D95" s="8"/>
      <c r="E95" s="9"/>
      <c r="F95" s="10"/>
      <c r="G95" s="10"/>
      <c r="H95" s="10"/>
      <c r="I95" s="11"/>
      <c r="J95" s="15"/>
      <c r="K95" s="12"/>
      <c r="L95" s="17"/>
      <c r="M95" s="13" t="str">
        <f t="shared" si="1"/>
        <v/>
      </c>
      <c r="N95" s="13" t="str">
        <f t="shared" si="2"/>
        <v/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6"/>
      <c r="C96" s="7"/>
      <c r="D96" s="8"/>
      <c r="E96" s="9"/>
      <c r="F96" s="10"/>
      <c r="G96" s="10"/>
      <c r="H96" s="10"/>
      <c r="I96" s="11"/>
      <c r="J96" s="11"/>
      <c r="K96" s="10"/>
      <c r="L96" s="17"/>
      <c r="M96" s="13" t="str">
        <f t="shared" si="1"/>
        <v/>
      </c>
      <c r="N96" s="13" t="str">
        <f t="shared" si="2"/>
        <v/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6"/>
      <c r="C97" s="7"/>
      <c r="D97" s="14"/>
      <c r="E97" s="9"/>
      <c r="F97" s="10"/>
      <c r="G97" s="10"/>
      <c r="H97" s="10"/>
      <c r="I97" s="11"/>
      <c r="J97" s="11"/>
      <c r="K97" s="10"/>
      <c r="L97" s="17"/>
      <c r="M97" s="13" t="str">
        <f t="shared" si="1"/>
        <v/>
      </c>
      <c r="N97" s="13" t="str">
        <f t="shared" si="2"/>
        <v/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6"/>
      <c r="C98" s="7"/>
      <c r="D98" s="8"/>
      <c r="E98" s="9"/>
      <c r="F98" s="10"/>
      <c r="G98" s="10"/>
      <c r="H98" s="10"/>
      <c r="I98" s="11"/>
      <c r="J98" s="11"/>
      <c r="K98" s="10"/>
      <c r="L98" s="17"/>
      <c r="M98" s="13" t="str">
        <f t="shared" si="1"/>
        <v/>
      </c>
      <c r="N98" s="13" t="str">
        <f t="shared" si="2"/>
        <v/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6"/>
      <c r="C99" s="7"/>
      <c r="D99" s="14"/>
      <c r="E99" s="9"/>
      <c r="F99" s="10"/>
      <c r="G99" s="10"/>
      <c r="H99" s="10"/>
      <c r="I99" s="11"/>
      <c r="J99" s="11"/>
      <c r="K99" s="10"/>
      <c r="L99" s="17"/>
      <c r="M99" s="13" t="str">
        <f t="shared" si="1"/>
        <v/>
      </c>
      <c r="N99" s="13" t="str">
        <f t="shared" si="2"/>
        <v/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6"/>
      <c r="C100" s="7"/>
      <c r="D100" s="8"/>
      <c r="E100" s="9"/>
      <c r="F100" s="10"/>
      <c r="G100" s="10"/>
      <c r="H100" s="10"/>
      <c r="I100" s="11"/>
      <c r="J100" s="11"/>
      <c r="K100" s="10"/>
      <c r="L100" s="17"/>
      <c r="M100" s="13" t="str">
        <f t="shared" si="1"/>
        <v/>
      </c>
      <c r="N100" s="13" t="str">
        <f t="shared" si="2"/>
        <v/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6"/>
      <c r="C101" s="7"/>
      <c r="D101" s="14"/>
      <c r="E101" s="9"/>
      <c r="F101" s="10"/>
      <c r="G101" s="10"/>
      <c r="H101" s="10"/>
      <c r="I101" s="11"/>
      <c r="J101" s="11"/>
      <c r="K101" s="10"/>
      <c r="L101" s="17"/>
      <c r="M101" s="13" t="str">
        <f t="shared" si="1"/>
        <v/>
      </c>
      <c r="N101" s="13" t="str">
        <f t="shared" si="2"/>
        <v/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6"/>
      <c r="C102" s="7"/>
      <c r="D102" s="21"/>
      <c r="E102" s="9"/>
      <c r="F102" s="10"/>
      <c r="G102" s="10"/>
      <c r="H102" s="10"/>
      <c r="I102" s="11"/>
      <c r="J102" s="11"/>
      <c r="K102" s="10"/>
      <c r="L102" s="17"/>
      <c r="M102" s="13" t="str">
        <f t="shared" si="1"/>
        <v/>
      </c>
      <c r="N102" s="13" t="str">
        <f t="shared" si="2"/>
        <v/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6"/>
      <c r="C103" s="7"/>
      <c r="D103" s="14"/>
      <c r="E103" s="9"/>
      <c r="F103" s="10"/>
      <c r="G103" s="10"/>
      <c r="H103" s="10"/>
      <c r="I103" s="11"/>
      <c r="J103" s="11"/>
      <c r="K103" s="10"/>
      <c r="L103" s="17"/>
      <c r="M103" s="13" t="str">
        <f t="shared" si="1"/>
        <v/>
      </c>
      <c r="N103" s="13" t="str">
        <f t="shared" si="2"/>
        <v/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6"/>
      <c r="C104" s="7"/>
      <c r="D104" s="14"/>
      <c r="E104" s="9"/>
      <c r="F104" s="10"/>
      <c r="G104" s="10"/>
      <c r="H104" s="10"/>
      <c r="I104" s="11"/>
      <c r="J104" s="11"/>
      <c r="K104" s="10"/>
      <c r="L104" s="17"/>
      <c r="M104" s="13" t="str">
        <f t="shared" si="1"/>
        <v/>
      </c>
      <c r="N104" s="13" t="str">
        <f t="shared" si="2"/>
        <v/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6"/>
      <c r="C105" s="7"/>
      <c r="D105" s="14"/>
      <c r="E105" s="9"/>
      <c r="F105" s="10"/>
      <c r="G105" s="10"/>
      <c r="H105" s="10"/>
      <c r="I105" s="11"/>
      <c r="J105" s="11"/>
      <c r="K105" s="10"/>
      <c r="L105" s="17"/>
      <c r="M105" s="13" t="str">
        <f t="shared" si="1"/>
        <v/>
      </c>
      <c r="N105" s="13" t="str">
        <f t="shared" si="2"/>
        <v/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6"/>
      <c r="C106" s="7"/>
      <c r="D106" s="18"/>
      <c r="E106" s="9"/>
      <c r="F106" s="10"/>
      <c r="G106" s="10"/>
      <c r="H106" s="10"/>
      <c r="I106" s="11"/>
      <c r="J106" s="11"/>
      <c r="K106" s="10"/>
      <c r="L106" s="17"/>
      <c r="M106" s="13" t="str">
        <f t="shared" si="1"/>
        <v/>
      </c>
      <c r="N106" s="13" t="str">
        <f t="shared" si="2"/>
        <v/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6"/>
      <c r="C107" s="7"/>
      <c r="D107" s="8"/>
      <c r="E107" s="9"/>
      <c r="F107" s="10"/>
      <c r="G107" s="10"/>
      <c r="H107" s="10"/>
      <c r="I107" s="11"/>
      <c r="J107" s="11"/>
      <c r="K107" s="10"/>
      <c r="L107" s="17"/>
      <c r="M107" s="13" t="str">
        <f t="shared" si="1"/>
        <v/>
      </c>
      <c r="N107" s="13" t="str">
        <f t="shared" si="2"/>
        <v/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6"/>
      <c r="C108" s="7"/>
      <c r="D108" s="14"/>
      <c r="E108" s="9"/>
      <c r="F108" s="10"/>
      <c r="G108" s="10"/>
      <c r="H108" s="10"/>
      <c r="I108" s="11"/>
      <c r="J108" s="11"/>
      <c r="K108" s="10"/>
      <c r="L108" s="17"/>
      <c r="M108" s="13" t="str">
        <f t="shared" si="1"/>
        <v/>
      </c>
      <c r="N108" s="13" t="str">
        <f t="shared" si="2"/>
        <v/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6"/>
      <c r="C109" s="7"/>
      <c r="D109" s="18"/>
      <c r="E109" s="9"/>
      <c r="F109" s="10"/>
      <c r="G109" s="10"/>
      <c r="H109" s="10"/>
      <c r="I109" s="11"/>
      <c r="J109" s="11"/>
      <c r="K109" s="10"/>
      <c r="L109" s="17"/>
      <c r="M109" s="13" t="str">
        <f t="shared" si="1"/>
        <v/>
      </c>
      <c r="N109" s="13" t="str">
        <f t="shared" si="2"/>
        <v/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6"/>
      <c r="C110" s="7"/>
      <c r="D110" s="8"/>
      <c r="E110" s="9"/>
      <c r="F110" s="10"/>
      <c r="G110" s="10"/>
      <c r="H110" s="10"/>
      <c r="I110" s="11"/>
      <c r="J110" s="11"/>
      <c r="K110" s="10"/>
      <c r="L110" s="17"/>
      <c r="M110" s="13" t="str">
        <f t="shared" si="1"/>
        <v/>
      </c>
      <c r="N110" s="13" t="str">
        <f t="shared" si="2"/>
        <v/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6"/>
      <c r="C111" s="7"/>
      <c r="D111" s="8"/>
      <c r="E111" s="9"/>
      <c r="F111" s="10"/>
      <c r="G111" s="10"/>
      <c r="H111" s="10"/>
      <c r="I111" s="11"/>
      <c r="J111" s="11"/>
      <c r="K111" s="10"/>
      <c r="L111" s="17"/>
      <c r="M111" s="13" t="str">
        <f t="shared" si="1"/>
        <v/>
      </c>
      <c r="N111" s="13" t="str">
        <f t="shared" si="2"/>
        <v/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6"/>
      <c r="C112" s="7"/>
      <c r="D112" s="14"/>
      <c r="E112" s="9"/>
      <c r="F112" s="10"/>
      <c r="G112" s="10"/>
      <c r="H112" s="10"/>
      <c r="I112" s="11"/>
      <c r="J112" s="11"/>
      <c r="K112" s="10"/>
      <c r="L112" s="17"/>
      <c r="M112" s="13" t="str">
        <f t="shared" si="1"/>
        <v/>
      </c>
      <c r="N112" s="13" t="str">
        <f t="shared" si="2"/>
        <v/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6"/>
      <c r="C113" s="7"/>
      <c r="D113" s="14"/>
      <c r="E113" s="9"/>
      <c r="F113" s="10"/>
      <c r="G113" s="10"/>
      <c r="H113" s="10"/>
      <c r="I113" s="11"/>
      <c r="J113" s="11"/>
      <c r="K113" s="10"/>
      <c r="L113" s="17"/>
      <c r="M113" s="13" t="str">
        <f t="shared" si="1"/>
        <v/>
      </c>
      <c r="N113" s="13" t="str">
        <f t="shared" si="2"/>
        <v/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6"/>
      <c r="C114" s="7"/>
      <c r="D114" s="8"/>
      <c r="E114" s="9"/>
      <c r="F114" s="10"/>
      <c r="G114" s="10"/>
      <c r="H114" s="10"/>
      <c r="I114" s="11"/>
      <c r="J114" s="11"/>
      <c r="K114" s="10"/>
      <c r="L114" s="17"/>
      <c r="M114" s="13" t="str">
        <f t="shared" si="1"/>
        <v/>
      </c>
      <c r="N114" s="13" t="str">
        <f t="shared" si="2"/>
        <v/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6"/>
      <c r="C115" s="7"/>
      <c r="D115" s="8"/>
      <c r="E115" s="9"/>
      <c r="F115" s="10"/>
      <c r="G115" s="10"/>
      <c r="H115" s="10"/>
      <c r="I115" s="11"/>
      <c r="J115" s="11"/>
      <c r="K115" s="10"/>
      <c r="L115" s="17"/>
      <c r="M115" s="13" t="str">
        <f t="shared" si="1"/>
        <v/>
      </c>
      <c r="N115" s="13" t="str">
        <f t="shared" si="2"/>
        <v/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6"/>
      <c r="C116" s="7"/>
      <c r="D116" s="18"/>
      <c r="E116" s="9"/>
      <c r="F116" s="10"/>
      <c r="G116" s="10"/>
      <c r="H116" s="10"/>
      <c r="I116" s="11"/>
      <c r="J116" s="11"/>
      <c r="K116" s="10"/>
      <c r="L116" s="17"/>
      <c r="M116" s="13" t="str">
        <f t="shared" si="1"/>
        <v/>
      </c>
      <c r="N116" s="13" t="str">
        <f t="shared" si="2"/>
        <v/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6"/>
      <c r="C117" s="7"/>
      <c r="D117" s="8"/>
      <c r="E117" s="9"/>
      <c r="F117" s="10"/>
      <c r="G117" s="10"/>
      <c r="H117" s="10"/>
      <c r="I117" s="11"/>
      <c r="J117" s="11"/>
      <c r="K117" s="10"/>
      <c r="L117" s="17"/>
      <c r="M117" s="13" t="str">
        <f t="shared" si="1"/>
        <v/>
      </c>
      <c r="N117" s="13" t="str">
        <f t="shared" si="2"/>
        <v/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6"/>
      <c r="C118" s="7"/>
      <c r="D118" s="14"/>
      <c r="E118" s="9"/>
      <c r="F118" s="10"/>
      <c r="G118" s="10"/>
      <c r="H118" s="10"/>
      <c r="I118" s="11"/>
      <c r="J118" s="11"/>
      <c r="K118" s="10"/>
      <c r="L118" s="17"/>
      <c r="M118" s="13" t="str">
        <f t="shared" si="1"/>
        <v/>
      </c>
      <c r="N118" s="13" t="str">
        <f t="shared" si="2"/>
        <v/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6"/>
      <c r="C119" s="7"/>
      <c r="D119" s="21"/>
      <c r="E119" s="9"/>
      <c r="F119" s="10"/>
      <c r="G119" s="10"/>
      <c r="H119" s="10"/>
      <c r="I119" s="11"/>
      <c r="J119" s="11"/>
      <c r="K119" s="10"/>
      <c r="L119" s="17"/>
      <c r="M119" s="13" t="str">
        <f t="shared" si="1"/>
        <v/>
      </c>
      <c r="N119" s="13" t="str">
        <f t="shared" si="2"/>
        <v/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6"/>
      <c r="C120" s="7"/>
      <c r="D120" s="14"/>
      <c r="E120" s="9"/>
      <c r="F120" s="10"/>
      <c r="G120" s="10"/>
      <c r="H120" s="10"/>
      <c r="I120" s="11"/>
      <c r="J120" s="11"/>
      <c r="K120" s="10"/>
      <c r="L120" s="17"/>
      <c r="M120" s="13" t="str">
        <f t="shared" si="1"/>
        <v/>
      </c>
      <c r="N120" s="13" t="str">
        <f t="shared" si="2"/>
        <v/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6"/>
      <c r="C121" s="7"/>
      <c r="D121" s="8"/>
      <c r="E121" s="9"/>
      <c r="F121" s="10"/>
      <c r="G121" s="10"/>
      <c r="H121" s="10"/>
      <c r="I121" s="11"/>
      <c r="J121" s="11"/>
      <c r="K121" s="10"/>
      <c r="L121" s="17"/>
      <c r="M121" s="13" t="str">
        <f t="shared" si="1"/>
        <v/>
      </c>
      <c r="N121" s="13" t="str">
        <f t="shared" si="2"/>
        <v/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6"/>
      <c r="C122" s="7"/>
      <c r="D122" s="8"/>
      <c r="E122" s="9"/>
      <c r="F122" s="10"/>
      <c r="G122" s="10"/>
      <c r="H122" s="10"/>
      <c r="I122" s="11"/>
      <c r="J122" s="11"/>
      <c r="K122" s="10"/>
      <c r="L122" s="17"/>
      <c r="M122" s="13" t="str">
        <f t="shared" si="1"/>
        <v/>
      </c>
      <c r="N122" s="13" t="str">
        <f t="shared" si="2"/>
        <v/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6"/>
      <c r="C123" s="7"/>
      <c r="D123" s="8"/>
      <c r="E123" s="9"/>
      <c r="F123" s="10"/>
      <c r="G123" s="10"/>
      <c r="H123" s="10"/>
      <c r="I123" s="11"/>
      <c r="J123" s="11"/>
      <c r="K123" s="10"/>
      <c r="L123" s="17"/>
      <c r="M123" s="13" t="str">
        <f t="shared" si="1"/>
        <v/>
      </c>
      <c r="N123" s="13" t="str">
        <f t="shared" si="2"/>
        <v/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6"/>
      <c r="C124" s="7"/>
      <c r="D124" s="14"/>
      <c r="E124" s="9"/>
      <c r="F124" s="10"/>
      <c r="G124" s="10"/>
      <c r="H124" s="10"/>
      <c r="I124" s="11"/>
      <c r="J124" s="11"/>
      <c r="K124" s="10"/>
      <c r="L124" s="17"/>
      <c r="M124" s="13" t="str">
        <f t="shared" si="1"/>
        <v/>
      </c>
      <c r="N124" s="13" t="str">
        <f t="shared" si="2"/>
        <v/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6"/>
      <c r="C125" s="7"/>
      <c r="D125" s="8"/>
      <c r="E125" s="9"/>
      <c r="F125" s="10"/>
      <c r="G125" s="10"/>
      <c r="H125" s="10"/>
      <c r="I125" s="11"/>
      <c r="J125" s="11"/>
      <c r="K125" s="10"/>
      <c r="L125" s="17"/>
      <c r="M125" s="13" t="str">
        <f t="shared" si="1"/>
        <v/>
      </c>
      <c r="N125" s="13" t="str">
        <f t="shared" si="2"/>
        <v/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6"/>
      <c r="C126" s="7"/>
      <c r="D126" s="14"/>
      <c r="E126" s="9"/>
      <c r="F126" s="10"/>
      <c r="G126" s="10"/>
      <c r="H126" s="10"/>
      <c r="I126" s="11"/>
      <c r="J126" s="11"/>
      <c r="K126" s="10"/>
      <c r="L126" s="17"/>
      <c r="M126" s="13" t="str">
        <f t="shared" si="1"/>
        <v/>
      </c>
      <c r="N126" s="13" t="str">
        <f t="shared" si="2"/>
        <v/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6"/>
      <c r="C127" s="7"/>
      <c r="D127" s="14"/>
      <c r="E127" s="9"/>
      <c r="F127" s="10"/>
      <c r="G127" s="10"/>
      <c r="H127" s="10"/>
      <c r="I127" s="11"/>
      <c r="J127" s="11"/>
      <c r="K127" s="10"/>
      <c r="L127" s="17"/>
      <c r="M127" s="13" t="str">
        <f t="shared" si="1"/>
        <v/>
      </c>
      <c r="N127" s="13" t="str">
        <f t="shared" si="2"/>
        <v/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6"/>
      <c r="C128" s="7"/>
      <c r="D128" s="14"/>
      <c r="E128" s="9"/>
      <c r="F128" s="10"/>
      <c r="G128" s="10"/>
      <c r="H128" s="10"/>
      <c r="I128" s="11"/>
      <c r="J128" s="11"/>
      <c r="K128" s="10"/>
      <c r="L128" s="17"/>
      <c r="M128" s="13" t="str">
        <f t="shared" si="1"/>
        <v/>
      </c>
      <c r="N128" s="13" t="str">
        <f t="shared" si="2"/>
        <v/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6"/>
      <c r="C129" s="7"/>
      <c r="D129" s="8"/>
      <c r="E129" s="9"/>
      <c r="F129" s="10"/>
      <c r="G129" s="10"/>
      <c r="H129" s="10"/>
      <c r="I129" s="11"/>
      <c r="J129" s="11"/>
      <c r="K129" s="10"/>
      <c r="L129" s="17"/>
      <c r="M129" s="13" t="str">
        <f t="shared" si="1"/>
        <v/>
      </c>
      <c r="N129" s="13" t="str">
        <f t="shared" si="2"/>
        <v/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6"/>
      <c r="C130" s="7"/>
      <c r="D130" s="14"/>
      <c r="E130" s="9"/>
      <c r="F130" s="10"/>
      <c r="G130" s="10"/>
      <c r="H130" s="10"/>
      <c r="I130" s="11"/>
      <c r="J130" s="11"/>
      <c r="K130" s="10"/>
      <c r="L130" s="17"/>
      <c r="M130" s="13" t="str">
        <f t="shared" si="1"/>
        <v/>
      </c>
      <c r="N130" s="13" t="str">
        <f t="shared" si="2"/>
        <v/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6"/>
      <c r="C131" s="7"/>
      <c r="D131" s="14"/>
      <c r="E131" s="9"/>
      <c r="F131" s="10"/>
      <c r="G131" s="10"/>
      <c r="H131" s="10"/>
      <c r="I131" s="11"/>
      <c r="J131" s="11"/>
      <c r="K131" s="10"/>
      <c r="L131" s="17"/>
      <c r="M131" s="13" t="str">
        <f t="shared" si="1"/>
        <v/>
      </c>
      <c r="N131" s="13" t="str">
        <f t="shared" si="2"/>
        <v/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6"/>
      <c r="C132" s="7"/>
      <c r="D132" s="18"/>
      <c r="E132" s="9"/>
      <c r="F132" s="10"/>
      <c r="G132" s="10"/>
      <c r="H132" s="10"/>
      <c r="I132" s="11"/>
      <c r="J132" s="11"/>
      <c r="K132" s="10"/>
      <c r="L132" s="17"/>
      <c r="M132" s="13" t="str">
        <f t="shared" si="1"/>
        <v/>
      </c>
      <c r="N132" s="13" t="str">
        <f t="shared" si="2"/>
        <v/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6"/>
      <c r="C133" s="7"/>
      <c r="D133" s="14"/>
      <c r="E133" s="9"/>
      <c r="F133" s="10"/>
      <c r="G133" s="10"/>
      <c r="H133" s="10"/>
      <c r="I133" s="11"/>
      <c r="J133" s="11"/>
      <c r="K133" s="10"/>
      <c r="L133" s="17"/>
      <c r="M133" s="13" t="str">
        <f t="shared" si="1"/>
        <v/>
      </c>
      <c r="N133" s="13" t="str">
        <f t="shared" si="2"/>
        <v/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6"/>
      <c r="C134" s="7"/>
      <c r="D134" s="8"/>
      <c r="E134" s="9"/>
      <c r="F134" s="10"/>
      <c r="G134" s="10"/>
      <c r="H134" s="10"/>
      <c r="I134" s="11"/>
      <c r="J134" s="15"/>
      <c r="K134" s="12"/>
      <c r="L134" s="17"/>
      <c r="M134" s="13" t="str">
        <f t="shared" si="1"/>
        <v/>
      </c>
      <c r="N134" s="13" t="str">
        <f t="shared" si="2"/>
        <v/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6"/>
      <c r="C135" s="7"/>
      <c r="D135" s="8"/>
      <c r="E135" s="9"/>
      <c r="F135" s="10"/>
      <c r="G135" s="10"/>
      <c r="H135" s="10"/>
      <c r="I135" s="11"/>
      <c r="J135" s="11"/>
      <c r="K135" s="10"/>
      <c r="L135" s="17"/>
      <c r="M135" s="13" t="str">
        <f t="shared" si="1"/>
        <v/>
      </c>
      <c r="N135" s="13" t="str">
        <f t="shared" si="2"/>
        <v/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6"/>
      <c r="C136" s="7"/>
      <c r="D136" s="8"/>
      <c r="E136" s="9"/>
      <c r="F136" s="10"/>
      <c r="G136" s="10"/>
      <c r="H136" s="10"/>
      <c r="I136" s="11"/>
      <c r="J136" s="11"/>
      <c r="K136" s="10"/>
      <c r="L136" s="17"/>
      <c r="M136" s="13" t="str">
        <f t="shared" si="1"/>
        <v/>
      </c>
      <c r="N136" s="13" t="str">
        <f t="shared" si="2"/>
        <v/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6"/>
      <c r="C137" s="7"/>
      <c r="D137" s="14"/>
      <c r="E137" s="9"/>
      <c r="F137" s="10"/>
      <c r="G137" s="10"/>
      <c r="H137" s="10"/>
      <c r="I137" s="11"/>
      <c r="J137" s="11"/>
      <c r="K137" s="10"/>
      <c r="L137" s="17"/>
      <c r="M137" s="13" t="str">
        <f t="shared" si="1"/>
        <v/>
      </c>
      <c r="N137" s="13" t="str">
        <f t="shared" si="2"/>
        <v/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6"/>
      <c r="C138" s="7"/>
      <c r="D138" s="18"/>
      <c r="E138" s="9"/>
      <c r="F138" s="10"/>
      <c r="G138" s="10"/>
      <c r="H138" s="10"/>
      <c r="I138" s="11"/>
      <c r="J138" s="11"/>
      <c r="K138" s="10"/>
      <c r="L138" s="17"/>
      <c r="M138" s="13" t="str">
        <f t="shared" si="1"/>
        <v/>
      </c>
      <c r="N138" s="13" t="str">
        <f t="shared" si="2"/>
        <v/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6"/>
      <c r="C139" s="7"/>
      <c r="D139" s="8"/>
      <c r="E139" s="9"/>
      <c r="F139" s="10"/>
      <c r="G139" s="10"/>
      <c r="H139" s="10"/>
      <c r="I139" s="11"/>
      <c r="J139" s="11"/>
      <c r="K139" s="10"/>
      <c r="L139" s="17"/>
      <c r="M139" s="13" t="str">
        <f t="shared" si="1"/>
        <v/>
      </c>
      <c r="N139" s="13" t="str">
        <f t="shared" si="2"/>
        <v/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6"/>
      <c r="C140" s="7"/>
      <c r="D140" s="8"/>
      <c r="E140" s="9"/>
      <c r="F140" s="10"/>
      <c r="G140" s="10"/>
      <c r="H140" s="10"/>
      <c r="I140" s="11"/>
      <c r="J140" s="11"/>
      <c r="K140" s="10"/>
      <c r="L140" s="17"/>
      <c r="M140" s="13" t="str">
        <f t="shared" si="1"/>
        <v/>
      </c>
      <c r="N140" s="13" t="str">
        <f t="shared" si="2"/>
        <v/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6"/>
      <c r="C141" s="7"/>
      <c r="D141" s="14"/>
      <c r="E141" s="9"/>
      <c r="F141" s="10"/>
      <c r="G141" s="10"/>
      <c r="H141" s="10"/>
      <c r="I141" s="11"/>
      <c r="J141" s="11"/>
      <c r="K141" s="10"/>
      <c r="L141" s="17"/>
      <c r="M141" s="13" t="str">
        <f t="shared" si="1"/>
        <v/>
      </c>
      <c r="N141" s="13" t="str">
        <f t="shared" si="2"/>
        <v/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6"/>
      <c r="C142" s="7"/>
      <c r="D142" s="8"/>
      <c r="E142" s="9"/>
      <c r="F142" s="10"/>
      <c r="G142" s="10"/>
      <c r="H142" s="10"/>
      <c r="I142" s="11"/>
      <c r="J142" s="11"/>
      <c r="K142" s="10"/>
      <c r="L142" s="17"/>
      <c r="M142" s="13" t="str">
        <f t="shared" si="1"/>
        <v/>
      </c>
      <c r="N142" s="13" t="str">
        <f t="shared" si="2"/>
        <v/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3"/>
      <c r="B143" s="24"/>
      <c r="C143" s="25"/>
      <c r="D143" s="26"/>
      <c r="E143" s="27"/>
      <c r="F143" s="24"/>
      <c r="G143" s="24"/>
      <c r="H143" s="24"/>
      <c r="I143" s="28"/>
      <c r="J143" s="28"/>
      <c r="K143" s="24"/>
      <c r="L143" s="29"/>
      <c r="M143" s="13" t="str">
        <f t="shared" si="1"/>
        <v/>
      </c>
      <c r="N143" s="13" t="str">
        <f t="shared" si="2"/>
        <v/>
      </c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"/>
      <c r="B144" s="6"/>
      <c r="C144" s="30"/>
      <c r="D144" s="8"/>
      <c r="E144" s="9"/>
      <c r="F144" s="10"/>
      <c r="G144" s="10"/>
      <c r="H144" s="10"/>
      <c r="I144" s="11"/>
      <c r="J144" s="11"/>
      <c r="K144" s="10"/>
      <c r="L144" s="17"/>
      <c r="M144" s="13" t="str">
        <f t="shared" si="1"/>
        <v/>
      </c>
      <c r="N144" s="13" t="str">
        <f t="shared" si="2"/>
        <v/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3"/>
      <c r="B145" s="24"/>
      <c r="C145" s="25"/>
      <c r="D145" s="26"/>
      <c r="E145" s="27"/>
      <c r="F145" s="24"/>
      <c r="G145" s="24"/>
      <c r="H145" s="24"/>
      <c r="I145" s="28"/>
      <c r="J145" s="28"/>
      <c r="K145" s="24"/>
      <c r="L145" s="29"/>
      <c r="M145" s="13" t="str">
        <f t="shared" si="1"/>
        <v/>
      </c>
      <c r="N145" s="13" t="str">
        <f t="shared" si="2"/>
        <v/>
      </c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4"/>
      <c r="C146" s="25"/>
      <c r="D146" s="26"/>
      <c r="E146" s="27"/>
      <c r="F146" s="24"/>
      <c r="G146" s="24"/>
      <c r="H146" s="24"/>
      <c r="I146" s="28"/>
      <c r="J146" s="28"/>
      <c r="K146" s="24"/>
      <c r="L146" s="29"/>
      <c r="M146" s="13" t="str">
        <f t="shared" si="1"/>
        <v/>
      </c>
      <c r="N146" s="13" t="str">
        <f t="shared" si="2"/>
        <v/>
      </c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4"/>
      <c r="C147" s="25"/>
      <c r="D147" s="26"/>
      <c r="E147" s="27"/>
      <c r="F147" s="24"/>
      <c r="G147" s="24"/>
      <c r="H147" s="24"/>
      <c r="I147" s="28"/>
      <c r="J147" s="28"/>
      <c r="K147" s="24"/>
      <c r="L147" s="29"/>
      <c r="M147" s="13" t="str">
        <f t="shared" si="1"/>
        <v/>
      </c>
      <c r="N147" s="13" t="str">
        <f t="shared" si="2"/>
        <v/>
      </c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4"/>
      <c r="C148" s="25"/>
      <c r="D148" s="26"/>
      <c r="E148" s="27"/>
      <c r="F148" s="24"/>
      <c r="G148" s="24"/>
      <c r="H148" s="24"/>
      <c r="I148" s="28"/>
      <c r="J148" s="28"/>
      <c r="K148" s="24"/>
      <c r="L148" s="29"/>
      <c r="M148" s="13" t="str">
        <f t="shared" si="1"/>
        <v/>
      </c>
      <c r="N148" s="13" t="str">
        <f t="shared" si="2"/>
        <v/>
      </c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"/>
      <c r="B149" s="6"/>
      <c r="C149" s="7"/>
      <c r="D149" s="14"/>
      <c r="E149" s="9"/>
      <c r="F149" s="10"/>
      <c r="G149" s="10"/>
      <c r="H149" s="10"/>
      <c r="I149" s="11"/>
      <c r="J149" s="11"/>
      <c r="K149" s="10"/>
      <c r="L149" s="17"/>
      <c r="M149" s="13" t="str">
        <f t="shared" si="1"/>
        <v/>
      </c>
      <c r="N149" s="13" t="str">
        <f t="shared" si="2"/>
        <v/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0"/>
      <c r="C150" s="31"/>
      <c r="D150" s="8"/>
      <c r="E150" s="9"/>
      <c r="F150" s="10"/>
      <c r="G150" s="10"/>
      <c r="H150" s="10"/>
      <c r="I150" s="11"/>
      <c r="J150" s="11"/>
      <c r="K150" s="10"/>
      <c r="L150" s="17"/>
      <c r="M150" s="13" t="str">
        <f t="shared" si="1"/>
        <v/>
      </c>
      <c r="N150" s="13" t="str">
        <f t="shared" si="2"/>
        <v/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0"/>
      <c r="C151" s="31"/>
      <c r="D151" s="14"/>
      <c r="E151" s="9"/>
      <c r="F151" s="10"/>
      <c r="G151" s="10"/>
      <c r="H151" s="10"/>
      <c r="I151" s="11"/>
      <c r="J151" s="11"/>
      <c r="K151" s="10"/>
      <c r="L151" s="17"/>
      <c r="M151" s="13" t="str">
        <f t="shared" si="1"/>
        <v/>
      </c>
      <c r="N151" s="13" t="str">
        <f t="shared" si="2"/>
        <v/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2"/>
      <c r="C152" s="30"/>
      <c r="D152" s="8"/>
      <c r="E152" s="9"/>
      <c r="F152" s="10"/>
      <c r="G152" s="10"/>
      <c r="H152" s="10"/>
      <c r="I152" s="11"/>
      <c r="J152" s="11"/>
      <c r="K152" s="12"/>
      <c r="L152" s="17"/>
      <c r="M152" s="13" t="str">
        <f t="shared" si="1"/>
        <v/>
      </c>
      <c r="N152" s="13" t="str">
        <f t="shared" si="2"/>
        <v/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2"/>
      <c r="C153" s="30"/>
      <c r="D153" s="8"/>
      <c r="E153" s="9"/>
      <c r="F153" s="10"/>
      <c r="G153" s="10"/>
      <c r="H153" s="10"/>
      <c r="I153" s="11"/>
      <c r="J153" s="15"/>
      <c r="K153" s="12"/>
      <c r="L153" s="17"/>
      <c r="M153" s="13" t="str">
        <f t="shared" si="1"/>
        <v/>
      </c>
      <c r="N153" s="13" t="str">
        <f t="shared" si="2"/>
        <v/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2"/>
      <c r="C154" s="30"/>
      <c r="D154" s="8"/>
      <c r="E154" s="9"/>
      <c r="F154" s="10"/>
      <c r="G154" s="10"/>
      <c r="H154" s="10"/>
      <c r="I154" s="11"/>
      <c r="J154" s="11"/>
      <c r="K154" s="12"/>
      <c r="L154" s="17"/>
      <c r="M154" s="13" t="str">
        <f t="shared" si="1"/>
        <v/>
      </c>
      <c r="N154" s="13" t="str">
        <f t="shared" si="2"/>
        <v/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0"/>
      <c r="C155" s="31"/>
      <c r="D155" s="8"/>
      <c r="E155" s="9"/>
      <c r="F155" s="10"/>
      <c r="G155" s="10"/>
      <c r="H155" s="10"/>
      <c r="I155" s="11"/>
      <c r="J155" s="11"/>
      <c r="K155" s="10"/>
      <c r="L155" s="17"/>
      <c r="M155" s="13" t="str">
        <f t="shared" si="1"/>
        <v/>
      </c>
      <c r="N155" s="13" t="str">
        <f t="shared" si="2"/>
        <v/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0"/>
      <c r="C156" s="31"/>
      <c r="D156" s="14"/>
      <c r="E156" s="9"/>
      <c r="F156" s="10"/>
      <c r="G156" s="10"/>
      <c r="H156" s="10"/>
      <c r="I156" s="11"/>
      <c r="J156" s="11"/>
      <c r="K156" s="12"/>
      <c r="L156" s="17"/>
      <c r="M156" s="13" t="str">
        <f t="shared" si="1"/>
        <v/>
      </c>
      <c r="N156" s="13" t="str">
        <f t="shared" si="2"/>
        <v/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2"/>
      <c r="C157" s="30"/>
      <c r="D157" s="8"/>
      <c r="E157" s="9"/>
      <c r="F157" s="10"/>
      <c r="G157" s="12"/>
      <c r="H157" s="12"/>
      <c r="I157" s="11"/>
      <c r="J157" s="32"/>
      <c r="K157" s="12"/>
      <c r="L157" s="17"/>
      <c r="M157" s="13" t="str">
        <f t="shared" si="1"/>
        <v/>
      </c>
      <c r="N157" s="13" t="str">
        <f t="shared" si="2"/>
        <v/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2"/>
      <c r="C158" s="30"/>
      <c r="D158" s="33"/>
      <c r="E158" s="9"/>
      <c r="F158" s="10"/>
      <c r="G158" s="12"/>
      <c r="H158" s="12"/>
      <c r="I158" s="11"/>
      <c r="J158" s="11"/>
      <c r="K158" s="12"/>
      <c r="L158" s="17"/>
      <c r="M158" s="13" t="str">
        <f t="shared" si="1"/>
        <v/>
      </c>
      <c r="N158" s="13" t="str">
        <f t="shared" si="2"/>
        <v/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2"/>
      <c r="C159" s="30"/>
      <c r="D159" s="33"/>
      <c r="E159" s="9"/>
      <c r="F159" s="10"/>
      <c r="G159" s="12"/>
      <c r="H159" s="12"/>
      <c r="I159" s="11"/>
      <c r="J159" s="11"/>
      <c r="K159" s="12"/>
      <c r="L159" s="17"/>
      <c r="M159" s="13" t="str">
        <f t="shared" si="1"/>
        <v/>
      </c>
      <c r="N159" s="13" t="str">
        <f t="shared" si="2"/>
        <v/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2"/>
      <c r="C160" s="30"/>
      <c r="D160" s="33"/>
      <c r="E160" s="9"/>
      <c r="F160" s="10"/>
      <c r="G160" s="12"/>
      <c r="H160" s="12"/>
      <c r="I160" s="11"/>
      <c r="J160" s="11"/>
      <c r="K160" s="12"/>
      <c r="L160" s="17"/>
      <c r="M160" s="13" t="str">
        <f t="shared" si="1"/>
        <v/>
      </c>
      <c r="N160" s="13" t="str">
        <f t="shared" si="2"/>
        <v/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2"/>
      <c r="C161" s="30"/>
      <c r="D161" s="33"/>
      <c r="E161" s="9"/>
      <c r="F161" s="10"/>
      <c r="G161" s="12"/>
      <c r="H161" s="12"/>
      <c r="I161" s="11"/>
      <c r="J161" s="11"/>
      <c r="K161" s="12"/>
      <c r="L161" s="17"/>
      <c r="M161" s="13" t="str">
        <f t="shared" si="1"/>
        <v/>
      </c>
      <c r="N161" s="13" t="str">
        <f t="shared" si="2"/>
        <v/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2"/>
      <c r="C162" s="30"/>
      <c r="D162" s="33"/>
      <c r="E162" s="9"/>
      <c r="F162" s="10"/>
      <c r="G162" s="12"/>
      <c r="H162" s="12"/>
      <c r="I162" s="11"/>
      <c r="J162" s="11"/>
      <c r="K162" s="12"/>
      <c r="L162" s="17"/>
      <c r="M162" s="13" t="str">
        <f t="shared" si="1"/>
        <v/>
      </c>
      <c r="N162" s="13" t="str">
        <f t="shared" si="2"/>
        <v/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2"/>
      <c r="C163" s="30"/>
      <c r="D163" s="33"/>
      <c r="E163" s="9"/>
      <c r="F163" s="10"/>
      <c r="G163" s="12"/>
      <c r="H163" s="12"/>
      <c r="I163" s="11"/>
      <c r="J163" s="11"/>
      <c r="K163" s="12"/>
      <c r="L163" s="17"/>
      <c r="M163" s="13" t="str">
        <f t="shared" si="1"/>
        <v/>
      </c>
      <c r="N163" s="13" t="str">
        <f t="shared" si="2"/>
        <v/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2"/>
      <c r="C164" s="30"/>
      <c r="D164" s="14"/>
      <c r="E164" s="9"/>
      <c r="F164" s="10"/>
      <c r="G164" s="12"/>
      <c r="H164" s="12"/>
      <c r="I164" s="11"/>
      <c r="J164" s="15"/>
      <c r="K164" s="12"/>
      <c r="L164" s="17"/>
      <c r="M164" s="13" t="str">
        <f t="shared" si="1"/>
        <v/>
      </c>
      <c r="N164" s="13" t="str">
        <f t="shared" si="2"/>
        <v/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2"/>
      <c r="C165" s="30"/>
      <c r="D165" s="34"/>
      <c r="E165" s="9"/>
      <c r="F165" s="10"/>
      <c r="G165" s="12"/>
      <c r="H165" s="12"/>
      <c r="I165" s="11"/>
      <c r="J165" s="15"/>
      <c r="K165" s="12"/>
      <c r="L165" s="17"/>
      <c r="M165" s="13" t="str">
        <f t="shared" si="1"/>
        <v/>
      </c>
      <c r="N165" s="13" t="str">
        <f t="shared" si="2"/>
        <v/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2"/>
      <c r="C166" s="30"/>
      <c r="D166" s="14"/>
      <c r="E166" s="9"/>
      <c r="F166" s="10"/>
      <c r="G166" s="12"/>
      <c r="H166" s="12"/>
      <c r="I166" s="11"/>
      <c r="J166" s="15"/>
      <c r="K166" s="12"/>
      <c r="L166" s="17"/>
      <c r="M166" s="13" t="str">
        <f t="shared" si="1"/>
        <v/>
      </c>
      <c r="N166" s="13" t="str">
        <f t="shared" si="2"/>
        <v/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2"/>
      <c r="C167" s="30"/>
      <c r="D167" s="34"/>
      <c r="E167" s="9"/>
      <c r="F167" s="10"/>
      <c r="G167" s="12"/>
      <c r="H167" s="12"/>
      <c r="I167" s="11"/>
      <c r="J167" s="15"/>
      <c r="K167" s="12"/>
      <c r="L167" s="17"/>
      <c r="M167" s="13" t="str">
        <f t="shared" si="1"/>
        <v/>
      </c>
      <c r="N167" s="13" t="str">
        <f t="shared" si="2"/>
        <v/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2"/>
      <c r="C168" s="30"/>
      <c r="D168" s="34"/>
      <c r="E168" s="9"/>
      <c r="F168" s="10"/>
      <c r="G168" s="12"/>
      <c r="H168" s="12"/>
      <c r="I168" s="11"/>
      <c r="J168" s="15"/>
      <c r="K168" s="12"/>
      <c r="L168" s="17"/>
      <c r="M168" s="13" t="str">
        <f t="shared" si="1"/>
        <v/>
      </c>
      <c r="N168" s="13" t="str">
        <f t="shared" si="2"/>
        <v/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2"/>
      <c r="C169" s="30"/>
      <c r="D169" s="14"/>
      <c r="E169" s="9"/>
      <c r="F169" s="10"/>
      <c r="G169" s="12"/>
      <c r="H169" s="12"/>
      <c r="I169" s="11"/>
      <c r="J169" s="15"/>
      <c r="K169" s="12"/>
      <c r="L169" s="17"/>
      <c r="M169" s="13" t="str">
        <f t="shared" si="1"/>
        <v/>
      </c>
      <c r="N169" s="13" t="str">
        <f t="shared" si="2"/>
        <v/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2"/>
      <c r="C170" s="30"/>
      <c r="D170" s="14"/>
      <c r="E170" s="9"/>
      <c r="F170" s="10"/>
      <c r="G170" s="12"/>
      <c r="H170" s="12"/>
      <c r="I170" s="11"/>
      <c r="J170" s="15"/>
      <c r="K170" s="12"/>
      <c r="L170" s="17"/>
      <c r="M170" s="13" t="str">
        <f t="shared" si="1"/>
        <v/>
      </c>
      <c r="N170" s="13" t="str">
        <f t="shared" si="2"/>
        <v/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2"/>
      <c r="C171" s="30"/>
      <c r="D171" s="18"/>
      <c r="E171" s="9"/>
      <c r="F171" s="10"/>
      <c r="G171" s="12"/>
      <c r="H171" s="12"/>
      <c r="I171" s="11"/>
      <c r="J171" s="15"/>
      <c r="K171" s="12"/>
      <c r="L171" s="17"/>
      <c r="M171" s="13" t="str">
        <f t="shared" si="1"/>
        <v/>
      </c>
      <c r="N171" s="13" t="str">
        <f t="shared" si="2"/>
        <v/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2"/>
      <c r="C172" s="30"/>
      <c r="D172" s="14"/>
      <c r="E172" s="9"/>
      <c r="F172" s="10"/>
      <c r="G172" s="12"/>
      <c r="H172" s="12"/>
      <c r="I172" s="11"/>
      <c r="J172" s="15"/>
      <c r="K172" s="12"/>
      <c r="L172" s="17"/>
      <c r="M172" s="13" t="str">
        <f t="shared" si="1"/>
        <v/>
      </c>
      <c r="N172" s="13" t="str">
        <f t="shared" si="2"/>
        <v/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2"/>
      <c r="C173" s="30"/>
      <c r="D173" s="14"/>
      <c r="E173" s="9"/>
      <c r="F173" s="10"/>
      <c r="G173" s="12"/>
      <c r="H173" s="12"/>
      <c r="I173" s="11"/>
      <c r="J173" s="15"/>
      <c r="K173" s="12"/>
      <c r="L173" s="17"/>
      <c r="M173" s="13" t="str">
        <f t="shared" si="1"/>
        <v/>
      </c>
      <c r="N173" s="13" t="str">
        <f t="shared" si="2"/>
        <v/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2"/>
      <c r="C174" s="30"/>
      <c r="D174" s="14"/>
      <c r="E174" s="9"/>
      <c r="F174" s="10"/>
      <c r="G174" s="12"/>
      <c r="H174" s="12"/>
      <c r="I174" s="11"/>
      <c r="J174" s="15"/>
      <c r="K174" s="12"/>
      <c r="L174" s="17"/>
      <c r="M174" s="13" t="str">
        <f t="shared" si="1"/>
        <v/>
      </c>
      <c r="N174" s="13" t="str">
        <f t="shared" si="2"/>
        <v/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2"/>
      <c r="C175" s="30"/>
      <c r="D175" s="14"/>
      <c r="E175" s="9"/>
      <c r="F175" s="10"/>
      <c r="G175" s="12"/>
      <c r="H175" s="12"/>
      <c r="I175" s="11"/>
      <c r="J175" s="35"/>
      <c r="K175" s="17"/>
      <c r="L175" s="17"/>
      <c r="M175" s="13" t="str">
        <f t="shared" si="1"/>
        <v/>
      </c>
      <c r="N175" s="13" t="str">
        <f t="shared" si="2"/>
        <v/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2"/>
      <c r="C176" s="30"/>
      <c r="D176" s="14"/>
      <c r="E176" s="9"/>
      <c r="F176" s="10"/>
      <c r="G176" s="12"/>
      <c r="H176" s="12"/>
      <c r="I176" s="11"/>
      <c r="J176" s="15"/>
      <c r="K176" s="12"/>
      <c r="L176" s="17"/>
      <c r="M176" s="13" t="str">
        <f t="shared" si="1"/>
        <v/>
      </c>
      <c r="N176" s="13" t="str">
        <f t="shared" si="2"/>
        <v/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2"/>
      <c r="C177" s="30"/>
      <c r="D177" s="18"/>
      <c r="E177" s="9"/>
      <c r="F177" s="10"/>
      <c r="G177" s="12"/>
      <c r="H177" s="12"/>
      <c r="I177" s="11"/>
      <c r="J177" s="15"/>
      <c r="K177" s="12"/>
      <c r="L177" s="17"/>
      <c r="M177" s="13" t="str">
        <f t="shared" si="1"/>
        <v/>
      </c>
      <c r="N177" s="13" t="str">
        <f t="shared" si="2"/>
        <v/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2"/>
      <c r="C178" s="30"/>
      <c r="D178" s="18"/>
      <c r="E178" s="9"/>
      <c r="F178" s="10"/>
      <c r="G178" s="12"/>
      <c r="H178" s="12"/>
      <c r="I178" s="11"/>
      <c r="J178" s="15"/>
      <c r="K178" s="12"/>
      <c r="L178" s="17"/>
      <c r="M178" s="13" t="str">
        <f t="shared" si="1"/>
        <v/>
      </c>
      <c r="N178" s="13" t="str">
        <f t="shared" si="2"/>
        <v/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2"/>
      <c r="C179" s="30"/>
      <c r="D179" s="14"/>
      <c r="E179" s="9"/>
      <c r="F179" s="10"/>
      <c r="G179" s="12"/>
      <c r="H179" s="12"/>
      <c r="I179" s="11"/>
      <c r="J179" s="15"/>
      <c r="K179" s="12"/>
      <c r="L179" s="17"/>
      <c r="M179" s="13" t="str">
        <f t="shared" si="1"/>
        <v/>
      </c>
      <c r="N179" s="13" t="str">
        <f t="shared" si="2"/>
        <v/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2"/>
      <c r="C180" s="30"/>
      <c r="D180" s="18"/>
      <c r="E180" s="9"/>
      <c r="F180" s="10"/>
      <c r="G180" s="12"/>
      <c r="H180" s="12"/>
      <c r="I180" s="11"/>
      <c r="J180" s="15"/>
      <c r="K180" s="12"/>
      <c r="L180" s="17"/>
      <c r="M180" s="13" t="str">
        <f t="shared" si="1"/>
        <v/>
      </c>
      <c r="N180" s="13" t="str">
        <f t="shared" si="2"/>
        <v/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2"/>
      <c r="C181" s="30"/>
      <c r="D181" s="18"/>
      <c r="E181" s="9"/>
      <c r="F181" s="10"/>
      <c r="G181" s="12"/>
      <c r="H181" s="12"/>
      <c r="I181" s="11"/>
      <c r="J181" s="15"/>
      <c r="K181" s="12"/>
      <c r="L181" s="17"/>
      <c r="M181" s="13" t="str">
        <f t="shared" si="1"/>
        <v/>
      </c>
      <c r="N181" s="13" t="str">
        <f t="shared" si="2"/>
        <v/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2"/>
      <c r="C182" s="30"/>
      <c r="D182" s="18"/>
      <c r="E182" s="9"/>
      <c r="F182" s="10"/>
      <c r="G182" s="12"/>
      <c r="H182" s="12"/>
      <c r="I182" s="11"/>
      <c r="J182" s="15"/>
      <c r="K182" s="12"/>
      <c r="L182" s="17"/>
      <c r="M182" s="13" t="str">
        <f t="shared" si="1"/>
        <v/>
      </c>
      <c r="N182" s="13" t="str">
        <f t="shared" si="2"/>
        <v/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2"/>
      <c r="C183" s="30"/>
      <c r="D183" s="18"/>
      <c r="E183" s="9"/>
      <c r="F183" s="10"/>
      <c r="G183" s="12"/>
      <c r="H183" s="12"/>
      <c r="I183" s="11"/>
      <c r="J183" s="15"/>
      <c r="K183" s="12"/>
      <c r="L183" s="17"/>
      <c r="M183" s="13" t="str">
        <f t="shared" si="1"/>
        <v/>
      </c>
      <c r="N183" s="13" t="str">
        <f t="shared" si="2"/>
        <v/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2"/>
      <c r="C184" s="30"/>
      <c r="D184" s="18"/>
      <c r="E184" s="9"/>
      <c r="F184" s="10"/>
      <c r="G184" s="12"/>
      <c r="H184" s="12"/>
      <c r="I184" s="11"/>
      <c r="J184" s="15"/>
      <c r="K184" s="12"/>
      <c r="L184" s="17"/>
      <c r="M184" s="13" t="str">
        <f t="shared" si="1"/>
        <v/>
      </c>
      <c r="N184" s="13" t="str">
        <f t="shared" si="2"/>
        <v/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2"/>
      <c r="C185" s="30"/>
      <c r="D185" s="18"/>
      <c r="E185" s="9"/>
      <c r="F185" s="10"/>
      <c r="G185" s="12"/>
      <c r="H185" s="12"/>
      <c r="I185" s="11"/>
      <c r="J185" s="15"/>
      <c r="K185" s="12"/>
      <c r="L185" s="17"/>
      <c r="M185" s="13" t="str">
        <f t="shared" si="1"/>
        <v/>
      </c>
      <c r="N185" s="13" t="str">
        <f t="shared" si="2"/>
        <v/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2"/>
      <c r="C186" s="30"/>
      <c r="D186" s="18"/>
      <c r="E186" s="9"/>
      <c r="F186" s="10"/>
      <c r="G186" s="12"/>
      <c r="H186" s="12"/>
      <c r="I186" s="11"/>
      <c r="J186" s="15"/>
      <c r="K186" s="12"/>
      <c r="L186" s="17"/>
      <c r="M186" s="13" t="str">
        <f t="shared" si="1"/>
        <v/>
      </c>
      <c r="N186" s="13" t="str">
        <f t="shared" si="2"/>
        <v/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2"/>
      <c r="C187" s="30"/>
      <c r="D187" s="18"/>
      <c r="E187" s="9"/>
      <c r="F187" s="10"/>
      <c r="G187" s="12"/>
      <c r="H187" s="12"/>
      <c r="I187" s="11"/>
      <c r="J187" s="15"/>
      <c r="K187" s="12"/>
      <c r="L187" s="17"/>
      <c r="M187" s="13" t="str">
        <f t="shared" si="1"/>
        <v/>
      </c>
      <c r="N187" s="13" t="str">
        <f t="shared" si="2"/>
        <v/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2"/>
      <c r="C188" s="30"/>
      <c r="D188" s="18"/>
      <c r="E188" s="9"/>
      <c r="F188" s="10"/>
      <c r="G188" s="12"/>
      <c r="H188" s="12"/>
      <c r="I188" s="11"/>
      <c r="J188" s="15"/>
      <c r="K188" s="12"/>
      <c r="L188" s="17"/>
      <c r="M188" s="13" t="str">
        <f t="shared" si="1"/>
        <v/>
      </c>
      <c r="N188" s="13" t="str">
        <f t="shared" si="2"/>
        <v/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2"/>
      <c r="C189" s="30"/>
      <c r="D189" s="14"/>
      <c r="E189" s="9"/>
      <c r="F189" s="10"/>
      <c r="G189" s="12"/>
      <c r="H189" s="12"/>
      <c r="I189" s="11"/>
      <c r="J189" s="15"/>
      <c r="K189" s="12"/>
      <c r="L189" s="17"/>
      <c r="M189" s="13" t="str">
        <f t="shared" si="1"/>
        <v/>
      </c>
      <c r="N189" s="13" t="str">
        <f t="shared" si="2"/>
        <v/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2"/>
      <c r="C190" s="30"/>
      <c r="D190" s="14"/>
      <c r="E190" s="9"/>
      <c r="F190" s="10"/>
      <c r="G190" s="12"/>
      <c r="H190" s="12"/>
      <c r="I190" s="11"/>
      <c r="J190" s="35"/>
      <c r="K190" s="17"/>
      <c r="L190" s="17"/>
      <c r="M190" s="13" t="str">
        <f t="shared" si="1"/>
        <v/>
      </c>
      <c r="N190" s="13" t="str">
        <f t="shared" si="2"/>
        <v/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2"/>
      <c r="C191" s="30"/>
      <c r="D191" s="14"/>
      <c r="E191" s="9"/>
      <c r="F191" s="10"/>
      <c r="G191" s="12"/>
      <c r="H191" s="12"/>
      <c r="I191" s="11"/>
      <c r="J191" s="15"/>
      <c r="K191" s="12"/>
      <c r="L191" s="17"/>
      <c r="M191" s="13" t="str">
        <f t="shared" si="1"/>
        <v/>
      </c>
      <c r="N191" s="13" t="str">
        <f t="shared" si="2"/>
        <v/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2"/>
      <c r="C192" s="30"/>
      <c r="D192" s="18"/>
      <c r="E192" s="9"/>
      <c r="F192" s="10"/>
      <c r="G192" s="12"/>
      <c r="H192" s="12"/>
      <c r="I192" s="11"/>
      <c r="J192" s="15"/>
      <c r="K192" s="12"/>
      <c r="L192" s="17"/>
      <c r="M192" s="13" t="str">
        <f t="shared" si="1"/>
        <v/>
      </c>
      <c r="N192" s="13" t="str">
        <f t="shared" si="2"/>
        <v/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2"/>
      <c r="C193" s="30"/>
      <c r="D193" s="18"/>
      <c r="E193" s="9"/>
      <c r="F193" s="10"/>
      <c r="G193" s="12"/>
      <c r="H193" s="12"/>
      <c r="I193" s="11"/>
      <c r="J193" s="15"/>
      <c r="K193" s="12"/>
      <c r="L193" s="17"/>
      <c r="M193" s="13" t="str">
        <f t="shared" si="1"/>
        <v/>
      </c>
      <c r="N193" s="13" t="str">
        <f t="shared" si="2"/>
        <v/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2"/>
      <c r="C194" s="30"/>
      <c r="D194" s="18"/>
      <c r="E194" s="9"/>
      <c r="F194" s="10"/>
      <c r="G194" s="12"/>
      <c r="H194" s="12"/>
      <c r="I194" s="11"/>
      <c r="J194" s="35"/>
      <c r="K194" s="17"/>
      <c r="L194" s="17"/>
      <c r="M194" s="13" t="str">
        <f t="shared" si="1"/>
        <v/>
      </c>
      <c r="N194" s="13" t="str">
        <f t="shared" si="2"/>
        <v/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2"/>
      <c r="C195" s="30"/>
      <c r="D195" s="18"/>
      <c r="E195" s="9"/>
      <c r="F195" s="10"/>
      <c r="G195" s="12"/>
      <c r="H195" s="12"/>
      <c r="I195" s="11"/>
      <c r="J195" s="15"/>
      <c r="K195" s="12"/>
      <c r="L195" s="17"/>
      <c r="M195" s="13" t="str">
        <f t="shared" si="1"/>
        <v/>
      </c>
      <c r="N195" s="13" t="str">
        <f t="shared" si="2"/>
        <v/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6"/>
      <c r="C196" s="7"/>
      <c r="D196" s="8"/>
      <c r="E196" s="9"/>
      <c r="F196" s="10"/>
      <c r="G196" s="10"/>
      <c r="H196" s="10"/>
      <c r="I196" s="11"/>
      <c r="J196" s="11"/>
      <c r="K196" s="10"/>
      <c r="L196" s="17"/>
      <c r="M196" s="13" t="str">
        <f t="shared" si="1"/>
        <v/>
      </c>
      <c r="N196" s="13" t="str">
        <f t="shared" si="2"/>
        <v/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6"/>
      <c r="C197" s="7"/>
      <c r="D197" s="8"/>
      <c r="E197" s="9"/>
      <c r="F197" s="10"/>
      <c r="G197" s="10"/>
      <c r="H197" s="10"/>
      <c r="I197" s="11"/>
      <c r="J197" s="11"/>
      <c r="K197" s="10"/>
      <c r="L197" s="17"/>
      <c r="M197" s="13" t="str">
        <f t="shared" si="1"/>
        <v/>
      </c>
      <c r="N197" s="13" t="str">
        <f t="shared" si="2"/>
        <v/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6"/>
      <c r="C198" s="7"/>
      <c r="D198" s="8"/>
      <c r="E198" s="9"/>
      <c r="F198" s="10"/>
      <c r="G198" s="10"/>
      <c r="H198" s="10"/>
      <c r="I198" s="11"/>
      <c r="J198" s="11"/>
      <c r="K198" s="10"/>
      <c r="L198" s="17"/>
      <c r="M198" s="13" t="str">
        <f t="shared" si="1"/>
        <v/>
      </c>
      <c r="N198" s="13" t="str">
        <f t="shared" si="2"/>
        <v/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6"/>
      <c r="C199" s="7"/>
      <c r="D199" s="8"/>
      <c r="E199" s="9"/>
      <c r="F199" s="10"/>
      <c r="G199" s="10"/>
      <c r="H199" s="10"/>
      <c r="I199" s="11"/>
      <c r="J199" s="11"/>
      <c r="K199" s="10"/>
      <c r="L199" s="17"/>
      <c r="M199" s="13" t="str">
        <f t="shared" si="1"/>
        <v/>
      </c>
      <c r="N199" s="13" t="str">
        <f t="shared" si="2"/>
        <v/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6"/>
      <c r="C200" s="7"/>
      <c r="D200" s="8"/>
      <c r="E200" s="9"/>
      <c r="F200" s="10"/>
      <c r="G200" s="10"/>
      <c r="H200" s="10"/>
      <c r="I200" s="11"/>
      <c r="J200" s="11"/>
      <c r="K200" s="10"/>
      <c r="L200" s="17"/>
      <c r="M200" s="13" t="str">
        <f t="shared" si="1"/>
        <v/>
      </c>
      <c r="N200" s="13" t="str">
        <f t="shared" si="2"/>
        <v/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6"/>
      <c r="C201" s="7"/>
      <c r="D201" s="8"/>
      <c r="E201" s="9"/>
      <c r="F201" s="10"/>
      <c r="G201" s="10"/>
      <c r="H201" s="10"/>
      <c r="I201" s="11"/>
      <c r="J201" s="11"/>
      <c r="K201" s="10"/>
      <c r="L201" s="17"/>
      <c r="M201" s="13" t="str">
        <f t="shared" si="1"/>
        <v/>
      </c>
      <c r="N201" s="13" t="str">
        <f t="shared" si="2"/>
        <v/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6"/>
      <c r="C202" s="7"/>
      <c r="D202" s="8"/>
      <c r="E202" s="9"/>
      <c r="F202" s="10"/>
      <c r="G202" s="10"/>
      <c r="H202" s="10"/>
      <c r="I202" s="11"/>
      <c r="J202" s="11"/>
      <c r="K202" s="10"/>
      <c r="L202" s="17"/>
      <c r="M202" s="13" t="str">
        <f t="shared" si="1"/>
        <v/>
      </c>
      <c r="N202" s="13" t="str">
        <f t="shared" si="2"/>
        <v/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6"/>
      <c r="C203" s="7"/>
      <c r="D203" s="8"/>
      <c r="E203" s="9"/>
      <c r="F203" s="10"/>
      <c r="G203" s="10"/>
      <c r="H203" s="10"/>
      <c r="I203" s="11"/>
      <c r="J203" s="11"/>
      <c r="K203" s="10"/>
      <c r="L203" s="17"/>
      <c r="M203" s="13" t="str">
        <f t="shared" si="1"/>
        <v/>
      </c>
      <c r="N203" s="13" t="str">
        <f t="shared" si="2"/>
        <v/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6"/>
      <c r="C204" s="7"/>
      <c r="D204" s="8"/>
      <c r="E204" s="9"/>
      <c r="F204" s="10"/>
      <c r="G204" s="10"/>
      <c r="H204" s="10"/>
      <c r="I204" s="11"/>
      <c r="J204" s="11"/>
      <c r="K204" s="10"/>
      <c r="L204" s="17"/>
      <c r="M204" s="13" t="str">
        <f t="shared" si="1"/>
        <v/>
      </c>
      <c r="N204" s="13" t="str">
        <f t="shared" si="2"/>
        <v/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6"/>
      <c r="C205" s="7"/>
      <c r="D205" s="8"/>
      <c r="E205" s="9"/>
      <c r="F205" s="10"/>
      <c r="G205" s="10"/>
      <c r="H205" s="10"/>
      <c r="I205" s="11"/>
      <c r="J205" s="11"/>
      <c r="K205" s="10"/>
      <c r="L205" s="17"/>
      <c r="M205" s="13" t="str">
        <f t="shared" si="1"/>
        <v/>
      </c>
      <c r="N205" s="13" t="str">
        <f t="shared" si="2"/>
        <v/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6"/>
      <c r="C206" s="7"/>
      <c r="D206" s="8"/>
      <c r="E206" s="9"/>
      <c r="F206" s="10"/>
      <c r="G206" s="10"/>
      <c r="H206" s="10"/>
      <c r="I206" s="11"/>
      <c r="J206" s="11"/>
      <c r="K206" s="10"/>
      <c r="L206" s="17"/>
      <c r="M206" s="13" t="str">
        <f t="shared" si="1"/>
        <v/>
      </c>
      <c r="N206" s="13" t="str">
        <f t="shared" si="2"/>
        <v/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6"/>
      <c r="C207" s="7"/>
      <c r="D207" s="8"/>
      <c r="E207" s="9"/>
      <c r="F207" s="10"/>
      <c r="G207" s="10"/>
      <c r="H207" s="10"/>
      <c r="I207" s="11"/>
      <c r="J207" s="11"/>
      <c r="K207" s="10"/>
      <c r="L207" s="17"/>
      <c r="M207" s="13" t="str">
        <f t="shared" si="1"/>
        <v/>
      </c>
      <c r="N207" s="13" t="str">
        <f t="shared" si="2"/>
        <v/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6"/>
      <c r="C208" s="7"/>
      <c r="D208" s="8"/>
      <c r="E208" s="9"/>
      <c r="F208" s="10"/>
      <c r="G208" s="10"/>
      <c r="H208" s="10"/>
      <c r="I208" s="11"/>
      <c r="J208" s="11"/>
      <c r="K208" s="10"/>
      <c r="L208" s="17"/>
      <c r="M208" s="13" t="str">
        <f t="shared" si="1"/>
        <v/>
      </c>
      <c r="N208" s="13" t="str">
        <f t="shared" si="2"/>
        <v/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6"/>
      <c r="C209" s="7"/>
      <c r="D209" s="8"/>
      <c r="E209" s="9"/>
      <c r="F209" s="10"/>
      <c r="G209" s="10"/>
      <c r="H209" s="10"/>
      <c r="I209" s="11"/>
      <c r="J209" s="11"/>
      <c r="K209" s="10"/>
      <c r="L209" s="17"/>
      <c r="M209" s="13" t="str">
        <f t="shared" si="1"/>
        <v/>
      </c>
      <c r="N209" s="13" t="str">
        <f t="shared" si="2"/>
        <v/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6"/>
      <c r="C210" s="7"/>
      <c r="D210" s="8"/>
      <c r="E210" s="9"/>
      <c r="F210" s="10"/>
      <c r="G210" s="10"/>
      <c r="H210" s="10"/>
      <c r="I210" s="11"/>
      <c r="J210" s="11"/>
      <c r="K210" s="10"/>
      <c r="L210" s="17"/>
      <c r="M210" s="13" t="str">
        <f t="shared" si="1"/>
        <v/>
      </c>
      <c r="N210" s="13" t="str">
        <f t="shared" si="2"/>
        <v/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6"/>
      <c r="C211" s="7"/>
      <c r="D211" s="8"/>
      <c r="E211" s="9"/>
      <c r="F211" s="10"/>
      <c r="G211" s="10"/>
      <c r="H211" s="10"/>
      <c r="I211" s="11"/>
      <c r="J211" s="11"/>
      <c r="K211" s="10"/>
      <c r="L211" s="17"/>
      <c r="M211" s="13" t="str">
        <f t="shared" si="1"/>
        <v/>
      </c>
      <c r="N211" s="13" t="str">
        <f t="shared" si="2"/>
        <v/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6"/>
      <c r="C212" s="7"/>
      <c r="D212" s="8"/>
      <c r="E212" s="9"/>
      <c r="F212" s="10"/>
      <c r="G212" s="10"/>
      <c r="H212" s="10"/>
      <c r="I212" s="11"/>
      <c r="J212" s="11"/>
      <c r="K212" s="10"/>
      <c r="L212" s="17"/>
      <c r="M212" s="13" t="str">
        <f t="shared" si="1"/>
        <v/>
      </c>
      <c r="N212" s="13" t="str">
        <f t="shared" si="2"/>
        <v/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6"/>
      <c r="C213" s="7"/>
      <c r="D213" s="8"/>
      <c r="E213" s="9"/>
      <c r="F213" s="10"/>
      <c r="G213" s="10"/>
      <c r="H213" s="10"/>
      <c r="I213" s="11"/>
      <c r="J213" s="11"/>
      <c r="K213" s="10"/>
      <c r="L213" s="17"/>
      <c r="M213" s="13" t="str">
        <f t="shared" si="1"/>
        <v/>
      </c>
      <c r="N213" s="13" t="str">
        <f t="shared" si="2"/>
        <v/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6"/>
      <c r="C214" s="7"/>
      <c r="D214" s="8"/>
      <c r="E214" s="9"/>
      <c r="F214" s="10"/>
      <c r="G214" s="10"/>
      <c r="H214" s="10"/>
      <c r="I214" s="11"/>
      <c r="J214" s="11"/>
      <c r="K214" s="10"/>
      <c r="L214" s="17"/>
      <c r="M214" s="13" t="str">
        <f t="shared" si="1"/>
        <v/>
      </c>
      <c r="N214" s="13" t="str">
        <f t="shared" si="2"/>
        <v/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6"/>
      <c r="C215" s="7"/>
      <c r="D215" s="8"/>
      <c r="E215" s="9"/>
      <c r="F215" s="10"/>
      <c r="G215" s="10"/>
      <c r="H215" s="10"/>
      <c r="I215" s="11"/>
      <c r="J215" s="11"/>
      <c r="K215" s="10"/>
      <c r="L215" s="17"/>
      <c r="M215" s="13" t="str">
        <f t="shared" si="1"/>
        <v/>
      </c>
      <c r="N215" s="13" t="str">
        <f t="shared" si="2"/>
        <v/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6"/>
      <c r="C216" s="7"/>
      <c r="D216" s="8"/>
      <c r="E216" s="9"/>
      <c r="F216" s="10"/>
      <c r="G216" s="10"/>
      <c r="H216" s="10"/>
      <c r="I216" s="11"/>
      <c r="J216" s="11"/>
      <c r="K216" s="10"/>
      <c r="L216" s="17"/>
      <c r="M216" s="13" t="str">
        <f t="shared" si="1"/>
        <v/>
      </c>
      <c r="N216" s="13" t="str">
        <f t="shared" si="2"/>
        <v/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6"/>
      <c r="C217" s="7"/>
      <c r="D217" s="8"/>
      <c r="E217" s="9"/>
      <c r="F217" s="10"/>
      <c r="G217" s="10"/>
      <c r="H217" s="10"/>
      <c r="I217" s="11"/>
      <c r="J217" s="11"/>
      <c r="K217" s="10"/>
      <c r="L217" s="17"/>
      <c r="M217" s="13" t="str">
        <f t="shared" si="1"/>
        <v/>
      </c>
      <c r="N217" s="13" t="str">
        <f t="shared" si="2"/>
        <v/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6"/>
      <c r="C218" s="7"/>
      <c r="D218" s="8"/>
      <c r="E218" s="9"/>
      <c r="F218" s="10"/>
      <c r="G218" s="10"/>
      <c r="H218" s="10"/>
      <c r="I218" s="11"/>
      <c r="J218" s="11"/>
      <c r="K218" s="10"/>
      <c r="L218" s="17"/>
      <c r="M218" s="13" t="str">
        <f t="shared" si="1"/>
        <v/>
      </c>
      <c r="N218" s="13" t="str">
        <f t="shared" si="2"/>
        <v/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6"/>
      <c r="C219" s="7"/>
      <c r="D219" s="8"/>
      <c r="E219" s="9"/>
      <c r="F219" s="10"/>
      <c r="G219" s="10"/>
      <c r="H219" s="10"/>
      <c r="I219" s="11"/>
      <c r="J219" s="11"/>
      <c r="K219" s="10"/>
      <c r="L219" s="17"/>
      <c r="M219" s="13" t="str">
        <f t="shared" si="1"/>
        <v/>
      </c>
      <c r="N219" s="13" t="str">
        <f t="shared" si="2"/>
        <v/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6"/>
      <c r="C220" s="7"/>
      <c r="D220" s="8"/>
      <c r="E220" s="9"/>
      <c r="F220" s="10"/>
      <c r="G220" s="10"/>
      <c r="H220" s="10"/>
      <c r="I220" s="11"/>
      <c r="J220" s="11"/>
      <c r="K220" s="10"/>
      <c r="L220" s="17"/>
      <c r="M220" s="13" t="str">
        <f t="shared" si="1"/>
        <v/>
      </c>
      <c r="N220" s="13" t="str">
        <f t="shared" si="2"/>
        <v/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6"/>
      <c r="C221" s="7"/>
      <c r="D221" s="8"/>
      <c r="E221" s="9"/>
      <c r="F221" s="10"/>
      <c r="G221" s="10"/>
      <c r="H221" s="10"/>
      <c r="I221" s="11"/>
      <c r="J221" s="11"/>
      <c r="K221" s="10"/>
      <c r="L221" s="17"/>
      <c r="M221" s="13" t="str">
        <f t="shared" si="1"/>
        <v/>
      </c>
      <c r="N221" s="13" t="str">
        <f t="shared" si="2"/>
        <v/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6"/>
      <c r="C222" s="7"/>
      <c r="D222" s="8"/>
      <c r="E222" s="9"/>
      <c r="F222" s="10"/>
      <c r="G222" s="10"/>
      <c r="H222" s="10"/>
      <c r="I222" s="11"/>
      <c r="J222" s="11"/>
      <c r="K222" s="10"/>
      <c r="L222" s="17"/>
      <c r="M222" s="13" t="str">
        <f t="shared" si="1"/>
        <v/>
      </c>
      <c r="N222" s="13" t="str">
        <f t="shared" si="2"/>
        <v/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6"/>
      <c r="C223" s="7"/>
      <c r="D223" s="8"/>
      <c r="E223" s="9"/>
      <c r="F223" s="10"/>
      <c r="G223" s="10"/>
      <c r="H223" s="10"/>
      <c r="I223" s="11"/>
      <c r="J223" s="11"/>
      <c r="K223" s="10"/>
      <c r="L223" s="17"/>
      <c r="M223" s="13" t="str">
        <f t="shared" si="1"/>
        <v/>
      </c>
      <c r="N223" s="13" t="str">
        <f t="shared" si="2"/>
        <v/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6"/>
      <c r="C224" s="7"/>
      <c r="D224" s="8"/>
      <c r="E224" s="9"/>
      <c r="F224" s="10"/>
      <c r="G224" s="10"/>
      <c r="H224" s="10"/>
      <c r="I224" s="11"/>
      <c r="J224" s="11"/>
      <c r="K224" s="10"/>
      <c r="L224" s="17"/>
      <c r="M224" s="13" t="str">
        <f t="shared" si="1"/>
        <v/>
      </c>
      <c r="N224" s="13" t="str">
        <f t="shared" si="2"/>
        <v/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6"/>
      <c r="C225" s="7"/>
      <c r="D225" s="8"/>
      <c r="E225" s="9"/>
      <c r="F225" s="10"/>
      <c r="G225" s="10"/>
      <c r="H225" s="10"/>
      <c r="I225" s="11"/>
      <c r="J225" s="11"/>
      <c r="K225" s="10"/>
      <c r="L225" s="17"/>
      <c r="M225" s="13" t="str">
        <f t="shared" si="1"/>
        <v/>
      </c>
      <c r="N225" s="13" t="str">
        <f t="shared" si="2"/>
        <v/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6"/>
      <c r="C226" s="7"/>
      <c r="D226" s="8"/>
      <c r="E226" s="9"/>
      <c r="F226" s="10"/>
      <c r="G226" s="10"/>
      <c r="H226" s="10"/>
      <c r="I226" s="11"/>
      <c r="J226" s="11"/>
      <c r="K226" s="10"/>
      <c r="L226" s="17"/>
      <c r="M226" s="13" t="str">
        <f t="shared" si="1"/>
        <v/>
      </c>
      <c r="N226" s="13" t="str">
        <f t="shared" si="2"/>
        <v/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6"/>
      <c r="C227" s="7"/>
      <c r="D227" s="8"/>
      <c r="E227" s="9"/>
      <c r="F227" s="10"/>
      <c r="G227" s="10"/>
      <c r="H227" s="10"/>
      <c r="I227" s="11"/>
      <c r="J227" s="11"/>
      <c r="K227" s="10"/>
      <c r="L227" s="17"/>
      <c r="M227" s="13" t="str">
        <f t="shared" si="1"/>
        <v/>
      </c>
      <c r="N227" s="13" t="str">
        <f t="shared" si="2"/>
        <v/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6"/>
      <c r="C228" s="7"/>
      <c r="D228" s="8"/>
      <c r="E228" s="9"/>
      <c r="F228" s="10"/>
      <c r="G228" s="10"/>
      <c r="H228" s="10"/>
      <c r="I228" s="11"/>
      <c r="J228" s="11"/>
      <c r="K228" s="10"/>
      <c r="L228" s="17"/>
      <c r="M228" s="13" t="str">
        <f t="shared" si="1"/>
        <v/>
      </c>
      <c r="N228" s="13" t="str">
        <f t="shared" si="2"/>
        <v/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6"/>
      <c r="C229" s="7"/>
      <c r="D229" s="8"/>
      <c r="E229" s="9"/>
      <c r="F229" s="10"/>
      <c r="G229" s="10"/>
      <c r="H229" s="10"/>
      <c r="I229" s="11"/>
      <c r="J229" s="11"/>
      <c r="K229" s="10"/>
      <c r="L229" s="17"/>
      <c r="M229" s="13" t="str">
        <f t="shared" si="1"/>
        <v/>
      </c>
      <c r="N229" s="13" t="str">
        <f t="shared" si="2"/>
        <v/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6"/>
      <c r="C230" s="7"/>
      <c r="D230" s="8"/>
      <c r="E230" s="9"/>
      <c r="F230" s="10"/>
      <c r="G230" s="10"/>
      <c r="H230" s="10"/>
      <c r="I230" s="11"/>
      <c r="J230" s="11"/>
      <c r="K230" s="10"/>
      <c r="L230" s="17"/>
      <c r="M230" s="13" t="str">
        <f t="shared" si="1"/>
        <v/>
      </c>
      <c r="N230" s="13" t="str">
        <f t="shared" si="2"/>
        <v/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6"/>
      <c r="C231" s="7"/>
      <c r="D231" s="8"/>
      <c r="E231" s="9"/>
      <c r="F231" s="10"/>
      <c r="G231" s="10"/>
      <c r="H231" s="10"/>
      <c r="I231" s="11"/>
      <c r="J231" s="11"/>
      <c r="K231" s="10"/>
      <c r="L231" s="17"/>
      <c r="M231" s="13" t="str">
        <f t="shared" si="1"/>
        <v/>
      </c>
      <c r="N231" s="13" t="str">
        <f t="shared" si="2"/>
        <v/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6"/>
      <c r="C232" s="7"/>
      <c r="D232" s="8"/>
      <c r="E232" s="9"/>
      <c r="F232" s="10"/>
      <c r="G232" s="10"/>
      <c r="H232" s="10"/>
      <c r="I232" s="11"/>
      <c r="J232" s="11"/>
      <c r="K232" s="10"/>
      <c r="L232" s="17"/>
      <c r="M232" s="13" t="str">
        <f t="shared" si="1"/>
        <v/>
      </c>
      <c r="N232" s="13" t="str">
        <f t="shared" si="2"/>
        <v/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6"/>
      <c r="C233" s="7"/>
      <c r="D233" s="8"/>
      <c r="E233" s="9"/>
      <c r="F233" s="10"/>
      <c r="G233" s="10"/>
      <c r="H233" s="10"/>
      <c r="I233" s="11"/>
      <c r="J233" s="11"/>
      <c r="K233" s="10"/>
      <c r="L233" s="17"/>
      <c r="M233" s="13" t="str">
        <f t="shared" si="1"/>
        <v/>
      </c>
      <c r="N233" s="13" t="str">
        <f t="shared" si="2"/>
        <v/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6"/>
      <c r="C234" s="7"/>
      <c r="D234" s="8"/>
      <c r="E234" s="9"/>
      <c r="F234" s="10"/>
      <c r="G234" s="10"/>
      <c r="H234" s="10"/>
      <c r="I234" s="11"/>
      <c r="J234" s="11"/>
      <c r="K234" s="10"/>
      <c r="L234" s="17"/>
      <c r="M234" s="13" t="str">
        <f t="shared" si="1"/>
        <v/>
      </c>
      <c r="N234" s="13" t="str">
        <f t="shared" si="2"/>
        <v/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6"/>
      <c r="C235" s="7"/>
      <c r="D235" s="8"/>
      <c r="E235" s="9"/>
      <c r="F235" s="10"/>
      <c r="G235" s="10"/>
      <c r="H235" s="10"/>
      <c r="I235" s="11"/>
      <c r="J235" s="11"/>
      <c r="K235" s="10"/>
      <c r="L235" s="17"/>
      <c r="M235" s="13" t="str">
        <f t="shared" si="1"/>
        <v/>
      </c>
      <c r="N235" s="13" t="str">
        <f t="shared" si="2"/>
        <v/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6"/>
      <c r="C236" s="7"/>
      <c r="D236" s="8"/>
      <c r="E236" s="9"/>
      <c r="F236" s="10"/>
      <c r="G236" s="10"/>
      <c r="H236" s="10"/>
      <c r="I236" s="11"/>
      <c r="J236" s="11"/>
      <c r="K236" s="10"/>
      <c r="L236" s="17"/>
      <c r="M236" s="13" t="str">
        <f t="shared" si="1"/>
        <v/>
      </c>
      <c r="N236" s="13" t="str">
        <f t="shared" si="2"/>
        <v/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6"/>
      <c r="C237" s="7"/>
      <c r="D237" s="8"/>
      <c r="E237" s="9"/>
      <c r="F237" s="10"/>
      <c r="G237" s="10"/>
      <c r="H237" s="10"/>
      <c r="I237" s="11"/>
      <c r="J237" s="11"/>
      <c r="K237" s="10"/>
      <c r="L237" s="17"/>
      <c r="M237" s="13" t="str">
        <f t="shared" si="1"/>
        <v/>
      </c>
      <c r="N237" s="13" t="str">
        <f t="shared" si="2"/>
        <v/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6"/>
      <c r="C238" s="7"/>
      <c r="D238" s="8"/>
      <c r="E238" s="9"/>
      <c r="F238" s="10"/>
      <c r="G238" s="10"/>
      <c r="H238" s="10"/>
      <c r="I238" s="11"/>
      <c r="J238" s="11"/>
      <c r="K238" s="10"/>
      <c r="L238" s="17"/>
      <c r="M238" s="13" t="str">
        <f t="shared" si="1"/>
        <v/>
      </c>
      <c r="N238" s="13" t="str">
        <f t="shared" si="2"/>
        <v/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6"/>
      <c r="C239" s="7"/>
      <c r="D239" s="8"/>
      <c r="E239" s="9"/>
      <c r="F239" s="10"/>
      <c r="G239" s="10"/>
      <c r="H239" s="10"/>
      <c r="I239" s="11"/>
      <c r="J239" s="11"/>
      <c r="K239" s="10"/>
      <c r="L239" s="17"/>
      <c r="M239" s="13" t="str">
        <f t="shared" si="1"/>
        <v/>
      </c>
      <c r="N239" s="13" t="str">
        <f t="shared" si="2"/>
        <v/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6"/>
      <c r="C240" s="7"/>
      <c r="D240" s="8"/>
      <c r="E240" s="9"/>
      <c r="F240" s="10"/>
      <c r="G240" s="10"/>
      <c r="H240" s="10"/>
      <c r="I240" s="11"/>
      <c r="J240" s="11"/>
      <c r="K240" s="10"/>
      <c r="L240" s="17"/>
      <c r="M240" s="13" t="str">
        <f t="shared" si="1"/>
        <v/>
      </c>
      <c r="N240" s="13" t="str">
        <f t="shared" si="2"/>
        <v/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6"/>
      <c r="C241" s="7"/>
      <c r="D241" s="8"/>
      <c r="E241" s="9"/>
      <c r="F241" s="10"/>
      <c r="G241" s="10"/>
      <c r="H241" s="10"/>
      <c r="I241" s="11"/>
      <c r="J241" s="11"/>
      <c r="K241" s="10"/>
      <c r="L241" s="17"/>
      <c r="M241" s="13" t="str">
        <f t="shared" si="1"/>
        <v/>
      </c>
      <c r="N241" s="13" t="str">
        <f t="shared" si="2"/>
        <v/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6"/>
      <c r="C242" s="7"/>
      <c r="D242" s="8"/>
      <c r="E242" s="9"/>
      <c r="F242" s="10"/>
      <c r="G242" s="10"/>
      <c r="H242" s="10"/>
      <c r="I242" s="11"/>
      <c r="J242" s="11"/>
      <c r="K242" s="10"/>
      <c r="L242" s="17"/>
      <c r="M242" s="13" t="str">
        <f t="shared" si="1"/>
        <v/>
      </c>
      <c r="N242" s="13" t="str">
        <f t="shared" si="2"/>
        <v/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6"/>
      <c r="C243" s="7"/>
      <c r="D243" s="8"/>
      <c r="E243" s="9"/>
      <c r="F243" s="10"/>
      <c r="G243" s="10"/>
      <c r="H243" s="10"/>
      <c r="I243" s="11"/>
      <c r="J243" s="11"/>
      <c r="K243" s="10"/>
      <c r="L243" s="17"/>
      <c r="M243" s="13" t="str">
        <f t="shared" si="1"/>
        <v/>
      </c>
      <c r="N243" s="13" t="str">
        <f t="shared" si="2"/>
        <v/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6"/>
      <c r="C244" s="7"/>
      <c r="D244" s="8"/>
      <c r="E244" s="9"/>
      <c r="F244" s="10"/>
      <c r="G244" s="10"/>
      <c r="H244" s="10"/>
      <c r="I244" s="11"/>
      <c r="J244" s="11"/>
      <c r="K244" s="10"/>
      <c r="L244" s="17"/>
      <c r="M244" s="13" t="str">
        <f t="shared" si="1"/>
        <v/>
      </c>
      <c r="N244" s="13" t="str">
        <f t="shared" si="2"/>
        <v/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6"/>
      <c r="C245" s="7"/>
      <c r="D245" s="8"/>
      <c r="E245" s="9"/>
      <c r="F245" s="10"/>
      <c r="G245" s="10"/>
      <c r="H245" s="10"/>
      <c r="I245" s="11"/>
      <c r="J245" s="11"/>
      <c r="K245" s="10"/>
      <c r="L245" s="17"/>
      <c r="M245" s="13" t="str">
        <f t="shared" si="1"/>
        <v/>
      </c>
      <c r="N245" s="13" t="str">
        <f t="shared" si="2"/>
        <v/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6"/>
      <c r="C246" s="7"/>
      <c r="D246" s="8"/>
      <c r="E246" s="9"/>
      <c r="F246" s="10"/>
      <c r="G246" s="10"/>
      <c r="H246" s="10"/>
      <c r="I246" s="11"/>
      <c r="J246" s="11"/>
      <c r="K246" s="10"/>
      <c r="L246" s="17"/>
      <c r="M246" s="13" t="str">
        <f t="shared" si="1"/>
        <v/>
      </c>
      <c r="N246" s="13" t="str">
        <f t="shared" si="2"/>
        <v/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6"/>
      <c r="C247" s="7"/>
      <c r="D247" s="8"/>
      <c r="E247" s="9"/>
      <c r="F247" s="10"/>
      <c r="G247" s="10"/>
      <c r="H247" s="10"/>
      <c r="I247" s="11"/>
      <c r="J247" s="11"/>
      <c r="K247" s="10"/>
      <c r="L247" s="17"/>
      <c r="M247" s="13" t="str">
        <f t="shared" si="1"/>
        <v/>
      </c>
      <c r="N247" s="13" t="str">
        <f t="shared" si="2"/>
        <v/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6"/>
      <c r="C248" s="7"/>
      <c r="D248" s="8"/>
      <c r="E248" s="9"/>
      <c r="F248" s="10"/>
      <c r="G248" s="10"/>
      <c r="H248" s="10"/>
      <c r="I248" s="11"/>
      <c r="J248" s="11"/>
      <c r="K248" s="10"/>
      <c r="L248" s="17"/>
      <c r="M248" s="13" t="str">
        <f t="shared" si="1"/>
        <v/>
      </c>
      <c r="N248" s="13" t="str">
        <f t="shared" si="2"/>
        <v/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6"/>
      <c r="C249" s="7"/>
      <c r="D249" s="8"/>
      <c r="E249" s="9"/>
      <c r="F249" s="10"/>
      <c r="G249" s="10"/>
      <c r="H249" s="10"/>
      <c r="I249" s="11"/>
      <c r="J249" s="11"/>
      <c r="K249" s="10"/>
      <c r="L249" s="17"/>
      <c r="M249" s="13" t="str">
        <f t="shared" si="1"/>
        <v/>
      </c>
      <c r="N249" s="13" t="str">
        <f t="shared" si="2"/>
        <v/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6"/>
      <c r="C250" s="7"/>
      <c r="D250" s="8"/>
      <c r="E250" s="9"/>
      <c r="F250" s="10"/>
      <c r="G250" s="10"/>
      <c r="H250" s="10"/>
      <c r="I250" s="11"/>
      <c r="J250" s="11"/>
      <c r="K250" s="10"/>
      <c r="L250" s="17"/>
      <c r="M250" s="13" t="str">
        <f t="shared" si="1"/>
        <v/>
      </c>
      <c r="N250" s="13" t="str">
        <f t="shared" si="2"/>
        <v/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36"/>
      <c r="J251" s="3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36"/>
      <c r="J252" s="3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36"/>
      <c r="J253" s="3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36"/>
      <c r="J254" s="3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36"/>
      <c r="J255" s="3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36"/>
      <c r="J256" s="3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36"/>
      <c r="J257" s="3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36"/>
      <c r="J258" s="3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36"/>
      <c r="J259" s="3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36"/>
      <c r="J260" s="3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36"/>
      <c r="J261" s="3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36"/>
      <c r="J262" s="3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36"/>
      <c r="J263" s="3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36"/>
      <c r="J264" s="3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36"/>
      <c r="J265" s="3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36"/>
      <c r="J266" s="3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36"/>
      <c r="J267" s="3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36"/>
      <c r="J268" s="3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36"/>
      <c r="J269" s="3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36"/>
      <c r="J270" s="3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36"/>
      <c r="J271" s="3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36"/>
      <c r="J272" s="3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36"/>
      <c r="J273" s="3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36"/>
      <c r="J274" s="3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36"/>
      <c r="J275" s="3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36"/>
      <c r="J276" s="3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36"/>
      <c r="J277" s="3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36"/>
      <c r="J278" s="3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36"/>
      <c r="J279" s="3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36"/>
      <c r="J280" s="3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36"/>
      <c r="J281" s="3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36"/>
      <c r="J282" s="3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36"/>
      <c r="J283" s="3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36"/>
      <c r="J284" s="3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36"/>
      <c r="J285" s="3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36"/>
      <c r="J286" s="3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36"/>
      <c r="J287" s="3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36"/>
      <c r="J288" s="3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36"/>
      <c r="J289" s="3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36"/>
      <c r="J290" s="3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36"/>
      <c r="J291" s="3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36"/>
      <c r="J292" s="3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36"/>
      <c r="J293" s="3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36"/>
      <c r="J294" s="3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36"/>
      <c r="J295" s="3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36"/>
      <c r="J296" s="3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36"/>
      <c r="J297" s="3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36"/>
      <c r="J298" s="3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36"/>
      <c r="J299" s="3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36"/>
      <c r="J300" s="3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36"/>
      <c r="J301" s="3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36"/>
      <c r="J302" s="3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36"/>
      <c r="J303" s="3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36"/>
      <c r="J304" s="3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36"/>
      <c r="J305" s="3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36"/>
      <c r="J306" s="3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36"/>
      <c r="J307" s="3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36"/>
      <c r="J308" s="3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36"/>
      <c r="J309" s="3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36"/>
      <c r="J310" s="3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36"/>
      <c r="J311" s="3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36"/>
      <c r="J312" s="3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36"/>
      <c r="J313" s="3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36"/>
      <c r="J314" s="3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36"/>
      <c r="J315" s="3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36"/>
      <c r="J316" s="3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36"/>
      <c r="J317" s="3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36"/>
      <c r="J318" s="3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36"/>
      <c r="J319" s="3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36"/>
      <c r="J320" s="3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36"/>
      <c r="J321" s="3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36"/>
      <c r="J322" s="3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36"/>
      <c r="J323" s="3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36"/>
      <c r="J324" s="3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36"/>
      <c r="J325" s="3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36"/>
      <c r="J326" s="3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36"/>
      <c r="J327" s="3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36"/>
      <c r="J328" s="3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36"/>
      <c r="J329" s="3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36"/>
      <c r="J330" s="3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36"/>
      <c r="J331" s="3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36"/>
      <c r="J332" s="3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36"/>
      <c r="J333" s="3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36"/>
      <c r="J334" s="3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36"/>
      <c r="J335" s="3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36"/>
      <c r="J336" s="3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36"/>
      <c r="J337" s="3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36"/>
      <c r="J338" s="3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36"/>
      <c r="J339" s="3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36"/>
      <c r="J340" s="3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36"/>
      <c r="J341" s="3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36"/>
      <c r="J342" s="3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36"/>
      <c r="J343" s="3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36"/>
      <c r="J344" s="3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36"/>
      <c r="J345" s="3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36"/>
      <c r="J346" s="3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36"/>
      <c r="J347" s="3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36"/>
      <c r="J348" s="3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36"/>
      <c r="J349" s="3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36"/>
      <c r="J350" s="3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36"/>
      <c r="J351" s="3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36"/>
      <c r="J352" s="3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36"/>
      <c r="J353" s="3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36"/>
      <c r="J354" s="3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36"/>
      <c r="J355" s="3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36"/>
      <c r="J356" s="3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36"/>
      <c r="J357" s="3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36"/>
      <c r="J358" s="3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36"/>
      <c r="J359" s="3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36"/>
      <c r="J360" s="3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36"/>
      <c r="J361" s="3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36"/>
      <c r="J362" s="3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36"/>
      <c r="J363" s="3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36"/>
      <c r="J364" s="3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36"/>
      <c r="J365" s="3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36"/>
      <c r="J366" s="3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36"/>
      <c r="J367" s="3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36"/>
      <c r="J368" s="3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36"/>
      <c r="J369" s="3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36"/>
      <c r="J370" s="3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36"/>
      <c r="J371" s="3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36"/>
      <c r="J372" s="3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36"/>
      <c r="J373" s="3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36"/>
      <c r="J374" s="3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36"/>
      <c r="J375" s="3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36"/>
      <c r="J376" s="3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36"/>
      <c r="J377" s="3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36"/>
      <c r="J378" s="3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36"/>
      <c r="J379" s="3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36"/>
      <c r="J380" s="3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36"/>
      <c r="J381" s="3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36"/>
      <c r="J382" s="3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36"/>
      <c r="J383" s="3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36"/>
      <c r="J384" s="3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36"/>
      <c r="J385" s="3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36"/>
      <c r="J386" s="3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36"/>
      <c r="J387" s="3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36"/>
      <c r="J388" s="3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36"/>
      <c r="J389" s="3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36"/>
      <c r="J390" s="3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36"/>
      <c r="J391" s="3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36"/>
      <c r="J392" s="3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36"/>
      <c r="J393" s="3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36"/>
      <c r="J394" s="3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36"/>
      <c r="J395" s="3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36"/>
      <c r="J396" s="3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36"/>
      <c r="J397" s="3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36"/>
      <c r="J398" s="3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36"/>
      <c r="J399" s="3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36"/>
      <c r="J400" s="3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36"/>
      <c r="J401" s="3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36"/>
      <c r="J402" s="3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36"/>
      <c r="J403" s="3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36"/>
      <c r="J404" s="3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36"/>
      <c r="J405" s="3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36"/>
      <c r="J406" s="3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36"/>
      <c r="J407" s="3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36"/>
      <c r="J408" s="3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36"/>
      <c r="J409" s="3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36"/>
      <c r="J410" s="3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36"/>
      <c r="J411" s="3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36"/>
      <c r="J412" s="3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36"/>
      <c r="J413" s="3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36"/>
      <c r="J414" s="3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36"/>
      <c r="J415" s="3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36"/>
      <c r="J416" s="3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36"/>
      <c r="J417" s="3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36"/>
      <c r="J418" s="3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36"/>
      <c r="J419" s="3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36"/>
      <c r="J420" s="3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36"/>
      <c r="J421" s="3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36"/>
      <c r="J422" s="3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36"/>
      <c r="J423" s="3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36"/>
      <c r="J424" s="3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36"/>
      <c r="J425" s="3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36"/>
      <c r="J426" s="3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36"/>
      <c r="J427" s="3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36"/>
      <c r="J428" s="3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36"/>
      <c r="J429" s="3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36"/>
      <c r="J430" s="3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36"/>
      <c r="J431" s="3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36"/>
      <c r="J432" s="3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36"/>
      <c r="J433" s="3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36"/>
      <c r="J434" s="3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36"/>
      <c r="J435" s="3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36"/>
      <c r="J436" s="3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36"/>
      <c r="J437" s="3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36"/>
      <c r="J438" s="3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36"/>
      <c r="J439" s="3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36"/>
      <c r="J440" s="3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36"/>
      <c r="J441" s="3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36"/>
      <c r="J442" s="3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36"/>
      <c r="J443" s="3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36"/>
      <c r="J444" s="3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36"/>
      <c r="J445" s="3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36"/>
      <c r="J446" s="3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36"/>
      <c r="J447" s="3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36"/>
      <c r="J448" s="3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36"/>
      <c r="J449" s="3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36"/>
      <c r="J450" s="3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36"/>
      <c r="J451" s="3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36"/>
      <c r="J452" s="3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36"/>
      <c r="J453" s="3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36"/>
      <c r="J454" s="3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36"/>
      <c r="J455" s="3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36"/>
      <c r="J456" s="3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36"/>
      <c r="J457" s="3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36"/>
      <c r="J458" s="3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36"/>
      <c r="J459" s="3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36"/>
      <c r="J460" s="3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36"/>
      <c r="J461" s="3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36"/>
      <c r="J462" s="3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36"/>
      <c r="J463" s="3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36"/>
      <c r="J464" s="3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36"/>
      <c r="J465" s="3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36"/>
      <c r="J466" s="3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36"/>
      <c r="J467" s="3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36"/>
      <c r="J468" s="3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36"/>
      <c r="J469" s="3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36"/>
      <c r="J470" s="3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36"/>
      <c r="J471" s="3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36"/>
      <c r="J472" s="3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36"/>
      <c r="J473" s="3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36"/>
      <c r="J474" s="3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36"/>
      <c r="J475" s="3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36"/>
      <c r="J476" s="3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36"/>
      <c r="J477" s="3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36"/>
      <c r="J478" s="3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36"/>
      <c r="J479" s="3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36"/>
      <c r="J480" s="3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36"/>
      <c r="J481" s="3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36"/>
      <c r="J482" s="3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36"/>
      <c r="J483" s="3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36"/>
      <c r="J484" s="3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36"/>
      <c r="J485" s="3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36"/>
      <c r="J486" s="3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36"/>
      <c r="J487" s="3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36"/>
      <c r="J488" s="3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36"/>
      <c r="J489" s="3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36"/>
      <c r="J490" s="3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36"/>
      <c r="J491" s="3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36"/>
      <c r="J492" s="3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36"/>
      <c r="J493" s="3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36"/>
      <c r="J494" s="3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36"/>
      <c r="J495" s="3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36"/>
      <c r="J496" s="3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36"/>
      <c r="J497" s="3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36"/>
      <c r="J498" s="3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36"/>
      <c r="J499" s="3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36"/>
      <c r="J500" s="3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36"/>
      <c r="J501" s="3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36"/>
      <c r="J502" s="3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36"/>
      <c r="J503" s="3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36"/>
      <c r="J504" s="3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36"/>
      <c r="J505" s="3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36"/>
      <c r="J506" s="3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36"/>
      <c r="J507" s="3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36"/>
      <c r="J508" s="3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36"/>
      <c r="J509" s="3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36"/>
      <c r="J510" s="3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36"/>
      <c r="J511" s="3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36"/>
      <c r="J512" s="3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36"/>
      <c r="J513" s="3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36"/>
      <c r="J514" s="3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36"/>
      <c r="J515" s="3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36"/>
      <c r="J516" s="3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36"/>
      <c r="J517" s="3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36"/>
      <c r="J518" s="3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36"/>
      <c r="J519" s="3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36"/>
      <c r="J520" s="3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36"/>
      <c r="J521" s="3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36"/>
      <c r="J522" s="3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36"/>
      <c r="J523" s="3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36"/>
      <c r="J524" s="3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36"/>
      <c r="J525" s="3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36"/>
      <c r="J526" s="3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36"/>
      <c r="J527" s="3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36"/>
      <c r="J528" s="3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36"/>
      <c r="J529" s="3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36"/>
      <c r="J530" s="3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36"/>
      <c r="J531" s="3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36"/>
      <c r="J532" s="3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36"/>
      <c r="J533" s="3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36"/>
      <c r="J534" s="3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36"/>
      <c r="J535" s="3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36"/>
      <c r="J536" s="3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36"/>
      <c r="J537" s="3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36"/>
      <c r="J538" s="3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36"/>
      <c r="J539" s="3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36"/>
      <c r="J540" s="3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36"/>
      <c r="J541" s="3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36"/>
      <c r="J542" s="3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36"/>
      <c r="J543" s="3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36"/>
      <c r="J544" s="3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36"/>
      <c r="J545" s="3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36"/>
      <c r="J546" s="3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36"/>
      <c r="J547" s="3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36"/>
      <c r="J548" s="3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36"/>
      <c r="J549" s="3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36"/>
      <c r="J550" s="3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36"/>
      <c r="J551" s="3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36"/>
      <c r="J552" s="3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36"/>
      <c r="J553" s="3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36"/>
      <c r="J554" s="3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36"/>
      <c r="J555" s="3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36"/>
      <c r="J556" s="3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36"/>
      <c r="J557" s="3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36"/>
      <c r="J558" s="3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36"/>
      <c r="J559" s="3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36"/>
      <c r="J560" s="3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36"/>
      <c r="J561" s="3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36"/>
      <c r="J562" s="3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36"/>
      <c r="J563" s="3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36"/>
      <c r="J564" s="3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36"/>
      <c r="J565" s="3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36"/>
      <c r="J566" s="3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36"/>
      <c r="J567" s="3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36"/>
      <c r="J568" s="3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36"/>
      <c r="J569" s="3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36"/>
      <c r="J570" s="3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36"/>
      <c r="J571" s="3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36"/>
      <c r="J572" s="3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36"/>
      <c r="J573" s="3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36"/>
      <c r="J574" s="3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36"/>
      <c r="J575" s="3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36"/>
      <c r="J576" s="3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36"/>
      <c r="J577" s="3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36"/>
      <c r="J578" s="3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36"/>
      <c r="J579" s="3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36"/>
      <c r="J580" s="3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36"/>
      <c r="J581" s="3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36"/>
      <c r="J582" s="3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36"/>
      <c r="J583" s="3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36"/>
      <c r="J584" s="3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36"/>
      <c r="J585" s="3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36"/>
      <c r="J586" s="3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36"/>
      <c r="J587" s="3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36"/>
      <c r="J588" s="3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36"/>
      <c r="J589" s="3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36"/>
      <c r="J590" s="3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36"/>
      <c r="J591" s="3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36"/>
      <c r="J592" s="3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36"/>
      <c r="J593" s="3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36"/>
      <c r="J594" s="3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36"/>
      <c r="J595" s="3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36"/>
      <c r="J596" s="3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36"/>
      <c r="J597" s="3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36"/>
      <c r="J598" s="3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36"/>
      <c r="J599" s="3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36"/>
      <c r="J600" s="3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36"/>
      <c r="J601" s="3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36"/>
      <c r="J602" s="3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36"/>
      <c r="J603" s="3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36"/>
      <c r="J604" s="3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36"/>
      <c r="J605" s="3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36"/>
      <c r="J606" s="3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36"/>
      <c r="J607" s="3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36"/>
      <c r="J608" s="3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36"/>
      <c r="J609" s="3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36"/>
      <c r="J610" s="3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36"/>
      <c r="J611" s="3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36"/>
      <c r="J612" s="3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36"/>
      <c r="J613" s="3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36"/>
      <c r="J614" s="3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36"/>
      <c r="J615" s="3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36"/>
      <c r="J616" s="3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36"/>
      <c r="J617" s="3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36"/>
      <c r="J618" s="3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36"/>
      <c r="J619" s="3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36"/>
      <c r="J620" s="3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36"/>
      <c r="J621" s="3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36"/>
      <c r="J622" s="3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36"/>
      <c r="J623" s="3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36"/>
      <c r="J624" s="3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36"/>
      <c r="J625" s="3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36"/>
      <c r="J626" s="3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36"/>
      <c r="J627" s="3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36"/>
      <c r="J628" s="3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36"/>
      <c r="J629" s="3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36"/>
      <c r="J630" s="3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36"/>
      <c r="J631" s="3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36"/>
      <c r="J632" s="3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36"/>
      <c r="J633" s="3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36"/>
      <c r="J634" s="3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36"/>
      <c r="J635" s="3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36"/>
      <c r="J636" s="3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36"/>
      <c r="J637" s="3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36"/>
      <c r="J638" s="3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36"/>
      <c r="J639" s="3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36"/>
      <c r="J640" s="3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36"/>
      <c r="J641" s="3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36"/>
      <c r="J642" s="3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36"/>
      <c r="J643" s="3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36"/>
      <c r="J644" s="3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36"/>
      <c r="J645" s="3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36"/>
      <c r="J646" s="3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36"/>
      <c r="J647" s="3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36"/>
      <c r="J648" s="3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36"/>
      <c r="J649" s="3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36"/>
      <c r="J650" s="3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36"/>
      <c r="J651" s="3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36"/>
      <c r="J652" s="3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36"/>
      <c r="J653" s="3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36"/>
      <c r="J654" s="3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36"/>
      <c r="J655" s="3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36"/>
      <c r="J656" s="3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36"/>
      <c r="J657" s="3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36"/>
      <c r="J658" s="3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36"/>
      <c r="J659" s="3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36"/>
      <c r="J660" s="3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36"/>
      <c r="J661" s="3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36"/>
      <c r="J662" s="3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36"/>
      <c r="J663" s="3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36"/>
      <c r="J664" s="3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36"/>
      <c r="J665" s="3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36"/>
      <c r="J666" s="3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36"/>
      <c r="J667" s="3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36"/>
      <c r="J668" s="3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36"/>
      <c r="J669" s="3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36"/>
      <c r="J670" s="3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36"/>
      <c r="J671" s="3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36"/>
      <c r="J672" s="3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36"/>
      <c r="J673" s="3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36"/>
      <c r="J674" s="3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36"/>
      <c r="J675" s="3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36"/>
      <c r="J676" s="3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36"/>
      <c r="J677" s="3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36"/>
      <c r="J678" s="3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36"/>
      <c r="J679" s="3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36"/>
      <c r="J680" s="3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36"/>
      <c r="J681" s="3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36"/>
      <c r="J682" s="3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36"/>
      <c r="J683" s="3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36"/>
      <c r="J684" s="3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36"/>
      <c r="J685" s="3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36"/>
      <c r="J686" s="3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36"/>
      <c r="J687" s="3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36"/>
      <c r="J688" s="3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36"/>
      <c r="J689" s="3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36"/>
      <c r="J690" s="3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36"/>
      <c r="J691" s="3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36"/>
      <c r="J692" s="3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36"/>
      <c r="J693" s="3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36"/>
      <c r="J694" s="3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36"/>
      <c r="J695" s="3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36"/>
      <c r="J696" s="3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36"/>
      <c r="J697" s="3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36"/>
      <c r="J698" s="3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36"/>
      <c r="J699" s="3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36"/>
      <c r="J700" s="3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36"/>
      <c r="J701" s="3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36"/>
      <c r="J702" s="3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36"/>
      <c r="J703" s="3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36"/>
      <c r="J704" s="3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36"/>
      <c r="J705" s="3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36"/>
      <c r="J706" s="3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36"/>
      <c r="J707" s="3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36"/>
      <c r="J708" s="3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36"/>
      <c r="J709" s="3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36"/>
      <c r="J710" s="3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36"/>
      <c r="J711" s="3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36"/>
      <c r="J712" s="3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36"/>
      <c r="J713" s="3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36"/>
      <c r="J714" s="3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36"/>
      <c r="J715" s="3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36"/>
      <c r="J716" s="3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36"/>
      <c r="J717" s="3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36"/>
      <c r="J718" s="3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36"/>
      <c r="J719" s="3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36"/>
      <c r="J720" s="3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36"/>
      <c r="J721" s="3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36"/>
      <c r="J722" s="3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36"/>
      <c r="J723" s="3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36"/>
      <c r="J724" s="3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36"/>
      <c r="J725" s="3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36"/>
      <c r="J726" s="3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36"/>
      <c r="J727" s="3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36"/>
      <c r="J728" s="3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36"/>
      <c r="J729" s="3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36"/>
      <c r="J730" s="3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36"/>
      <c r="J731" s="3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36"/>
      <c r="J732" s="3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36"/>
      <c r="J733" s="3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36"/>
      <c r="J734" s="3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36"/>
      <c r="J735" s="3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36"/>
      <c r="J736" s="3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36"/>
      <c r="J737" s="3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36"/>
      <c r="J738" s="3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36"/>
      <c r="J739" s="3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36"/>
      <c r="J740" s="3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36"/>
      <c r="J741" s="3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36"/>
      <c r="J742" s="3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36"/>
      <c r="J743" s="3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36"/>
      <c r="J744" s="3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36"/>
      <c r="J745" s="3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36"/>
      <c r="J746" s="3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36"/>
      <c r="J747" s="3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36"/>
      <c r="J748" s="3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36"/>
      <c r="J749" s="3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36"/>
      <c r="J750" s="3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36"/>
      <c r="J751" s="3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36"/>
      <c r="J752" s="3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36"/>
      <c r="J753" s="3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36"/>
      <c r="J754" s="3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36"/>
      <c r="J755" s="3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36"/>
      <c r="J756" s="3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36"/>
      <c r="J757" s="3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36"/>
      <c r="J758" s="3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36"/>
      <c r="J759" s="3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36"/>
      <c r="J760" s="3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36"/>
      <c r="J761" s="3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36"/>
      <c r="J762" s="3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36"/>
      <c r="J763" s="3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36"/>
      <c r="J764" s="3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36"/>
      <c r="J765" s="3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36"/>
      <c r="J766" s="3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36"/>
      <c r="J767" s="3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36"/>
      <c r="J768" s="3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36"/>
      <c r="J769" s="3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36"/>
      <c r="J770" s="3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36"/>
      <c r="J771" s="3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36"/>
      <c r="J772" s="3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36"/>
      <c r="J773" s="3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36"/>
      <c r="J774" s="3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36"/>
      <c r="J775" s="3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36"/>
      <c r="J776" s="3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36"/>
      <c r="J777" s="3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36"/>
      <c r="J778" s="3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36"/>
      <c r="J779" s="3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36"/>
      <c r="J780" s="3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36"/>
      <c r="J781" s="3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36"/>
      <c r="J782" s="3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36"/>
      <c r="J783" s="3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36"/>
      <c r="J784" s="3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36"/>
      <c r="J785" s="3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36"/>
      <c r="J786" s="3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36"/>
      <c r="J787" s="3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36"/>
      <c r="J788" s="3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36"/>
      <c r="J789" s="3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36"/>
      <c r="J790" s="3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36"/>
      <c r="J791" s="3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36"/>
      <c r="J792" s="3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36"/>
      <c r="J793" s="3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36"/>
      <c r="J794" s="3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36"/>
      <c r="J795" s="3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36"/>
      <c r="J796" s="3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36"/>
      <c r="J797" s="3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36"/>
      <c r="J798" s="3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36"/>
      <c r="J799" s="3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36"/>
      <c r="J800" s="3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36"/>
      <c r="J801" s="3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36"/>
      <c r="J802" s="3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36"/>
      <c r="J803" s="3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36"/>
      <c r="J804" s="3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36"/>
      <c r="J805" s="3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36"/>
      <c r="J806" s="3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36"/>
      <c r="J807" s="3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36"/>
      <c r="J808" s="3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36"/>
      <c r="J809" s="3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36"/>
      <c r="J810" s="3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36"/>
      <c r="J811" s="3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36"/>
      <c r="J812" s="3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36"/>
      <c r="J813" s="3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36"/>
      <c r="J814" s="3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36"/>
      <c r="J815" s="3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36"/>
      <c r="J816" s="3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36"/>
      <c r="J817" s="3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36"/>
      <c r="J818" s="3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36"/>
      <c r="J819" s="3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36"/>
      <c r="J820" s="3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36"/>
      <c r="J821" s="3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36"/>
      <c r="J822" s="3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36"/>
      <c r="J823" s="3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36"/>
      <c r="J824" s="3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36"/>
      <c r="J825" s="3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36"/>
      <c r="J826" s="3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36"/>
      <c r="J827" s="3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36"/>
      <c r="J828" s="3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36"/>
      <c r="J829" s="3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36"/>
      <c r="J830" s="3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36"/>
      <c r="J831" s="3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36"/>
      <c r="J832" s="3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36"/>
      <c r="J833" s="3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36"/>
      <c r="J834" s="3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36"/>
      <c r="J835" s="3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36"/>
      <c r="J836" s="3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36"/>
      <c r="J837" s="3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36"/>
      <c r="J838" s="3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36"/>
      <c r="J839" s="3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36"/>
      <c r="J840" s="3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36"/>
      <c r="J841" s="3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36"/>
      <c r="J842" s="3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36"/>
      <c r="J843" s="3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36"/>
      <c r="J844" s="3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36"/>
      <c r="J845" s="3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36"/>
      <c r="J846" s="3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36"/>
      <c r="J847" s="3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36"/>
      <c r="J848" s="3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36"/>
      <c r="J849" s="3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36"/>
      <c r="J850" s="3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36"/>
      <c r="J851" s="3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36"/>
      <c r="J852" s="3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36"/>
      <c r="J853" s="3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36"/>
      <c r="J854" s="3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36"/>
      <c r="J855" s="3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36"/>
      <c r="J856" s="3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36"/>
      <c r="J857" s="3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36"/>
      <c r="J858" s="3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36"/>
      <c r="J859" s="3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36"/>
      <c r="J860" s="3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36"/>
      <c r="J861" s="3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36"/>
      <c r="J862" s="3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36"/>
      <c r="J863" s="3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36"/>
      <c r="J864" s="3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36"/>
      <c r="J865" s="3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36"/>
      <c r="J866" s="3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36"/>
      <c r="J867" s="3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36"/>
      <c r="J868" s="3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36"/>
      <c r="J869" s="3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36"/>
      <c r="J870" s="3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36"/>
      <c r="J871" s="3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36"/>
      <c r="J872" s="3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36"/>
      <c r="J873" s="3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36"/>
      <c r="J874" s="3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36"/>
      <c r="J875" s="3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36"/>
      <c r="J876" s="3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36"/>
      <c r="J877" s="3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36"/>
      <c r="J878" s="3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36"/>
      <c r="J879" s="3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36"/>
      <c r="J880" s="3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36"/>
      <c r="J881" s="3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36"/>
      <c r="J882" s="3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36"/>
      <c r="J883" s="3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36"/>
      <c r="J884" s="3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36"/>
      <c r="J885" s="3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36"/>
      <c r="J886" s="3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36"/>
      <c r="J887" s="3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36"/>
      <c r="J888" s="3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36"/>
      <c r="J889" s="3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36"/>
      <c r="J890" s="3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36"/>
      <c r="J891" s="3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36"/>
      <c r="J892" s="3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36"/>
      <c r="J893" s="3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36"/>
      <c r="J894" s="3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36"/>
      <c r="J895" s="3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36"/>
      <c r="J896" s="3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36"/>
      <c r="J897" s="3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36"/>
      <c r="J898" s="3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36"/>
      <c r="J899" s="3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36"/>
      <c r="J900" s="3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36"/>
      <c r="J901" s="3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36"/>
      <c r="J902" s="3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36"/>
      <c r="J903" s="3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36"/>
      <c r="J904" s="3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36"/>
      <c r="J905" s="3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36"/>
      <c r="J906" s="3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36"/>
      <c r="J907" s="3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36"/>
      <c r="J908" s="3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36"/>
      <c r="J909" s="3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36"/>
      <c r="J910" s="3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36"/>
      <c r="J911" s="3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36"/>
      <c r="J912" s="3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36"/>
      <c r="J913" s="3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36"/>
      <c r="J914" s="3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36"/>
      <c r="J915" s="3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36"/>
      <c r="J916" s="3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36"/>
      <c r="J917" s="3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36"/>
      <c r="J918" s="3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36"/>
      <c r="J919" s="3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36"/>
      <c r="J920" s="3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36"/>
      <c r="J921" s="3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36"/>
      <c r="J922" s="3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36"/>
      <c r="J923" s="3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36"/>
      <c r="J924" s="3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36"/>
      <c r="J925" s="3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36"/>
      <c r="J926" s="3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36"/>
      <c r="J927" s="3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36"/>
      <c r="J928" s="3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36"/>
      <c r="J929" s="3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36"/>
      <c r="J930" s="3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36"/>
      <c r="J931" s="3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36"/>
      <c r="J932" s="3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36"/>
      <c r="J933" s="3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36"/>
      <c r="J934" s="3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36"/>
      <c r="J935" s="3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36"/>
      <c r="J936" s="3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36"/>
      <c r="J937" s="3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36"/>
      <c r="J938" s="3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36"/>
      <c r="J939" s="3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36"/>
      <c r="J940" s="3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36"/>
      <c r="J941" s="3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36"/>
      <c r="J942" s="3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36"/>
      <c r="J943" s="3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36"/>
      <c r="J944" s="3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36"/>
      <c r="J945" s="3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36"/>
      <c r="J946" s="3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36"/>
      <c r="J947" s="3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36"/>
      <c r="J948" s="3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36"/>
      <c r="J949" s="3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36"/>
      <c r="J950" s="3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36"/>
      <c r="J951" s="3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36"/>
      <c r="J952" s="3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36"/>
      <c r="J953" s="3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36"/>
      <c r="J954" s="3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36"/>
      <c r="J955" s="3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36"/>
      <c r="J956" s="3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36"/>
      <c r="J957" s="3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36"/>
      <c r="J958" s="3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36"/>
      <c r="J959" s="3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36"/>
      <c r="J960" s="3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36"/>
      <c r="J961" s="3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36"/>
      <c r="J962" s="3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36"/>
      <c r="J963" s="3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36"/>
      <c r="J964" s="3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36"/>
      <c r="J965" s="3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36"/>
      <c r="J966" s="3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36"/>
      <c r="J967" s="3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36"/>
      <c r="J968" s="3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36"/>
      <c r="J969" s="3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36"/>
      <c r="J970" s="3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36"/>
      <c r="J971" s="3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36"/>
      <c r="J972" s="3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36"/>
      <c r="J973" s="3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36"/>
      <c r="J974" s="3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36"/>
      <c r="J975" s="3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36"/>
      <c r="J976" s="3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36"/>
      <c r="J977" s="3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36"/>
      <c r="J978" s="3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36"/>
      <c r="J979" s="3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36"/>
      <c r="J980" s="3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36"/>
      <c r="J981" s="3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36"/>
      <c r="J982" s="3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36"/>
      <c r="J983" s="3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36"/>
      <c r="J984" s="3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36"/>
      <c r="J985" s="3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36"/>
      <c r="J986" s="3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36"/>
      <c r="J987" s="3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36"/>
      <c r="J988" s="3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36"/>
      <c r="J989" s="3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36"/>
      <c r="J990" s="3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36"/>
      <c r="J991" s="3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I992" s="37"/>
      <c r="J992" s="37"/>
    </row>
    <row r="993">
      <c r="I993" s="37"/>
      <c r="J993" s="37"/>
    </row>
    <row r="994">
      <c r="I994" s="37"/>
      <c r="J994" s="37"/>
    </row>
    <row r="995">
      <c r="I995" s="37"/>
      <c r="J995" s="37"/>
    </row>
    <row r="996">
      <c r="I996" s="37"/>
      <c r="J996" s="37"/>
    </row>
    <row r="997">
      <c r="I997" s="37"/>
      <c r="J997" s="37"/>
    </row>
    <row r="998">
      <c r="I998" s="37"/>
      <c r="J998" s="37"/>
    </row>
    <row r="999">
      <c r="I999" s="37"/>
      <c r="J999" s="37"/>
    </row>
    <row r="1000">
      <c r="I1000" s="37"/>
      <c r="J1000" s="37"/>
    </row>
  </sheetData>
  <dataValidations>
    <dataValidation type="date" allowBlank="1" showDropDown="1" showErrorMessage="1" sqref="J3:J250">
      <formula1>46113.0</formula1>
      <formula2>46142.0</formula2>
    </dataValidation>
    <dataValidation type="list" allowBlank="1" showErrorMessage="1" sqref="L3:L250">
      <formula1>"easy rent,passato da vf store,inserito mese precedente,subentro da abb consumer,annullato,soluzione digitale"</formula1>
    </dataValidation>
    <dataValidation type="list" allowBlank="1" showErrorMessage="1" sqref="B3:B250">
      <formula1>"comet pontedera,euronics corciano,euronics gavinana,euronics grosseto,euronics montecatini,euronics parco prato,mw agliana,mw collestrada,mw empoli,mw figline ,mw gigli,mw novoli,mw pisa,mw roma est,mw roma (porta di),mw roma primavera,all around"</formula1>
    </dataValidation>
    <dataValidation type="list" allowBlank="1" showErrorMessage="1" sqref="K3:K250">
      <formula1>"sì,no"</formula1>
    </dataValidation>
    <dataValidation type="list" allowBlank="1" showErrorMessage="1" sqref="H3:H250">
      <formula1>"mobile comfort ,mobile smart,mobile ob,mobile red xs,fissa comfort,fissa smart,fissa ob,fissa total wireless,fissa fwa5g,fissa one net premium,easy rent"</formula1>
    </dataValidation>
    <dataValidation type="date" allowBlank="1" showDropDown="1" sqref="I3:I250">
      <formula1>46113.0</formula1>
      <formula2>46142.0</formula2>
    </dataValidation>
    <dataValidation type="list" allowBlank="1" showErrorMessage="1" sqref="C3:C250">
      <formula1>"Adelina Meta,Aissam El Moujaid,Carmen Davila,Biggbaoo,David John Gallo,Emerson Espiritu,Emiliano Romei,Fabian Sulmina,Feris Rahmouni,Francesco Butelli,Giovanni Giglio,Gloria La Giusa,Mariami Iashvili,Matteo Stefanelli,Nicole Gamboa,Samuele Guido,Serenella"&amp;" Nacci,Simona Cucu,Simone Marra"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6.5"/>
    <col customWidth="1" min="4" max="4" width="17.13"/>
    <col customWidth="1" min="5" max="5" width="15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8">
        <v>46113.0</v>
      </c>
      <c r="C2" s="39"/>
      <c r="D2" s="40"/>
      <c r="E2" s="2"/>
      <c r="F2" s="41" t="s">
        <v>292</v>
      </c>
      <c r="G2" s="3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2" t="s">
        <v>293</v>
      </c>
      <c r="C3" s="43">
        <v>30.0</v>
      </c>
      <c r="D3" s="40"/>
      <c r="E3" s="2"/>
      <c r="F3" s="42" t="s">
        <v>294</v>
      </c>
      <c r="G3" s="44">
        <f>D8*C3/C4</f>
        <v>67.5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2" t="s">
        <v>295</v>
      </c>
      <c r="C4" s="43">
        <v>12.0</v>
      </c>
      <c r="D4" s="40"/>
      <c r="E4" s="2"/>
      <c r="F4" s="42" t="s">
        <v>296</v>
      </c>
      <c r="G4" s="44">
        <f>D9*C3/C4</f>
        <v>97.5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4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4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4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4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4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4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4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4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4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4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4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4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4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4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4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4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4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4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4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4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4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4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4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4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4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4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4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4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4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4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4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4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4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4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4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4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4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4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4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4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4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4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4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4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4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4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4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4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4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4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4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4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4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4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4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4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4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4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4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4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4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4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4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4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4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4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4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4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4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4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4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4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</sheetData>
  <mergeCells count="2">
    <mergeCell ref="B2:C2"/>
    <mergeCell ref="F2:G2"/>
  </mergeCell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1.0"/>
    <col customWidth="1" min="3" max="3" width="21.88"/>
    <col customWidth="1" min="4" max="4" width="10.0"/>
    <col customWidth="1" min="5" max="5" width="12.0"/>
    <col customWidth="1" min="6" max="6" width="36.38"/>
    <col customWidth="1" min="7" max="7" width="19.5"/>
    <col customWidth="1" min="8" max="8" width="23.13"/>
    <col customWidth="1" min="9" max="10" width="10.13"/>
    <col customWidth="1" min="11" max="11" width="20.13"/>
    <col customWidth="1" min="12" max="12" width="25.13"/>
    <col customWidth="1" min="13" max="13" width="10.75"/>
    <col customWidth="1" min="14" max="14" width="11.13"/>
  </cols>
  <sheetData>
    <row r="1">
      <c r="A1" s="1">
        <v>1.00060283E8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0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5" t="s">
        <v>315</v>
      </c>
      <c r="L2" s="3" t="s">
        <v>10</v>
      </c>
      <c r="M2" s="3" t="s">
        <v>11</v>
      </c>
      <c r="N2" s="3" t="s">
        <v>12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6" t="s">
        <v>26</v>
      </c>
      <c r="C3" s="7" t="s">
        <v>27</v>
      </c>
      <c r="D3" s="8" t="s">
        <v>316</v>
      </c>
      <c r="E3" s="9" t="s">
        <v>317</v>
      </c>
      <c r="F3" s="10" t="s">
        <v>318</v>
      </c>
      <c r="G3" s="10" t="s">
        <v>319</v>
      </c>
      <c r="H3" s="10" t="s">
        <v>32</v>
      </c>
      <c r="I3" s="19">
        <v>46082.0</v>
      </c>
      <c r="J3" s="11">
        <v>46083.0</v>
      </c>
      <c r="K3" s="10" t="s">
        <v>20</v>
      </c>
      <c r="L3" s="12" t="s">
        <v>21</v>
      </c>
      <c r="M3" s="13" t="str">
        <f t="shared" ref="M3:M200" si="1">IF(H3="","", LEFT(H3,6))</f>
        <v>fissa </v>
      </c>
      <c r="N3" s="13" t="str">
        <f t="shared" ref="N3:N200" si="2">IF(J3="","",M3)</f>
        <v>fissa 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" t="s">
        <v>86</v>
      </c>
      <c r="C4" s="7" t="s">
        <v>87</v>
      </c>
      <c r="D4" s="14" t="s">
        <v>320</v>
      </c>
      <c r="E4" s="9" t="s">
        <v>321</v>
      </c>
      <c r="F4" s="10" t="s">
        <v>322</v>
      </c>
      <c r="G4" s="10" t="s">
        <v>323</v>
      </c>
      <c r="H4" s="10" t="s">
        <v>66</v>
      </c>
      <c r="I4" s="11">
        <v>46082.0</v>
      </c>
      <c r="J4" s="11">
        <v>46083.0</v>
      </c>
      <c r="K4" s="10" t="s">
        <v>20</v>
      </c>
      <c r="L4" s="12"/>
      <c r="M4" s="13" t="str">
        <f t="shared" si="1"/>
        <v>mobile</v>
      </c>
      <c r="N4" s="13" t="str">
        <f t="shared" si="2"/>
        <v>mobile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6" t="s">
        <v>86</v>
      </c>
      <c r="C5" s="7" t="s">
        <v>87</v>
      </c>
      <c r="D5" s="8"/>
      <c r="E5" s="9" t="s">
        <v>321</v>
      </c>
      <c r="F5" s="10" t="s">
        <v>322</v>
      </c>
      <c r="G5" s="9" t="s">
        <v>324</v>
      </c>
      <c r="H5" s="10" t="s">
        <v>68</v>
      </c>
      <c r="I5" s="11">
        <v>46082.0</v>
      </c>
      <c r="J5" s="11">
        <v>46083.0</v>
      </c>
      <c r="K5" s="10" t="s">
        <v>20</v>
      </c>
      <c r="L5" s="17"/>
      <c r="M5" s="13" t="str">
        <f t="shared" si="1"/>
        <v>fissa </v>
      </c>
      <c r="N5" s="13" t="str">
        <f t="shared" si="2"/>
        <v>fissa 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6" t="s">
        <v>38</v>
      </c>
      <c r="C6" s="7" t="s">
        <v>39</v>
      </c>
      <c r="D6" s="14" t="s">
        <v>325</v>
      </c>
      <c r="E6" s="9" t="s">
        <v>326</v>
      </c>
      <c r="F6" s="10" t="s">
        <v>327</v>
      </c>
      <c r="G6" s="10" t="s">
        <v>91</v>
      </c>
      <c r="H6" s="10" t="s">
        <v>54</v>
      </c>
      <c r="I6" s="19">
        <v>46082.0</v>
      </c>
      <c r="J6" s="15">
        <v>46084.0</v>
      </c>
      <c r="K6" s="12" t="s">
        <v>20</v>
      </c>
      <c r="L6" s="12" t="s">
        <v>21</v>
      </c>
      <c r="M6" s="13" t="str">
        <f t="shared" si="1"/>
        <v>easy r</v>
      </c>
      <c r="N6" s="13" t="str">
        <f t="shared" si="2"/>
        <v>easy r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" t="s">
        <v>38</v>
      </c>
      <c r="C7" s="7" t="s">
        <v>39</v>
      </c>
      <c r="D7" s="8"/>
      <c r="E7" s="9" t="s">
        <v>326</v>
      </c>
      <c r="F7" s="10" t="s">
        <v>327</v>
      </c>
      <c r="G7" s="10" t="s">
        <v>328</v>
      </c>
      <c r="H7" s="10" t="s">
        <v>54</v>
      </c>
      <c r="I7" s="11">
        <v>46082.0</v>
      </c>
      <c r="J7" s="11">
        <v>46085.0</v>
      </c>
      <c r="K7" s="10" t="s">
        <v>20</v>
      </c>
      <c r="L7" s="12" t="s">
        <v>21</v>
      </c>
      <c r="M7" s="13" t="str">
        <f t="shared" si="1"/>
        <v>easy r</v>
      </c>
      <c r="N7" s="13" t="str">
        <f t="shared" si="2"/>
        <v>easy r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6" t="s">
        <v>26</v>
      </c>
      <c r="C8" s="7" t="s">
        <v>27</v>
      </c>
      <c r="D8" s="8" t="s">
        <v>329</v>
      </c>
      <c r="E8" s="9" t="s">
        <v>330</v>
      </c>
      <c r="F8" s="10" t="s">
        <v>331</v>
      </c>
      <c r="G8" s="10" t="s">
        <v>332</v>
      </c>
      <c r="H8" s="10" t="s">
        <v>25</v>
      </c>
      <c r="I8" s="11">
        <v>46087.0</v>
      </c>
      <c r="J8" s="11">
        <v>46087.0</v>
      </c>
      <c r="K8" s="10" t="s">
        <v>20</v>
      </c>
      <c r="L8" s="12"/>
      <c r="M8" s="13" t="str">
        <f t="shared" si="1"/>
        <v>mobile</v>
      </c>
      <c r="N8" s="13" t="str">
        <f t="shared" si="2"/>
        <v>mobile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195</v>
      </c>
      <c r="C9" s="7" t="s">
        <v>333</v>
      </c>
      <c r="D9" s="8" t="s">
        <v>334</v>
      </c>
      <c r="E9" s="9" t="s">
        <v>335</v>
      </c>
      <c r="F9" s="10" t="s">
        <v>336</v>
      </c>
      <c r="G9" s="10" t="s">
        <v>337</v>
      </c>
      <c r="H9" s="10" t="s">
        <v>54</v>
      </c>
      <c r="I9" s="11">
        <v>46082.0</v>
      </c>
      <c r="J9" s="15">
        <v>46085.0</v>
      </c>
      <c r="K9" s="12" t="s">
        <v>20</v>
      </c>
      <c r="L9" s="12" t="s">
        <v>21</v>
      </c>
      <c r="M9" s="13" t="str">
        <f t="shared" si="1"/>
        <v>easy r</v>
      </c>
      <c r="N9" s="13" t="str">
        <f t="shared" si="2"/>
        <v>easy r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6" t="s">
        <v>86</v>
      </c>
      <c r="C10" s="7" t="s">
        <v>87</v>
      </c>
      <c r="D10" s="8" t="s">
        <v>338</v>
      </c>
      <c r="E10" s="9" t="s">
        <v>339</v>
      </c>
      <c r="F10" s="10" t="s">
        <v>340</v>
      </c>
      <c r="G10" s="10" t="s">
        <v>341</v>
      </c>
      <c r="H10" s="10" t="s">
        <v>37</v>
      </c>
      <c r="I10" s="19">
        <v>46082.0</v>
      </c>
      <c r="J10" s="11">
        <v>46083.0</v>
      </c>
      <c r="K10" s="10" t="s">
        <v>20</v>
      </c>
      <c r="L10" s="17"/>
      <c r="M10" s="13" t="str">
        <f t="shared" si="1"/>
        <v>mobile</v>
      </c>
      <c r="N10" s="13" t="str">
        <f t="shared" si="2"/>
        <v>mobile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6" t="s">
        <v>75</v>
      </c>
      <c r="C11" s="7" t="s">
        <v>202</v>
      </c>
      <c r="D11" s="8" t="s">
        <v>342</v>
      </c>
      <c r="E11" s="9" t="s">
        <v>343</v>
      </c>
      <c r="F11" s="10" t="s">
        <v>344</v>
      </c>
      <c r="G11" s="10" t="s">
        <v>345</v>
      </c>
      <c r="H11" s="10" t="s">
        <v>68</v>
      </c>
      <c r="I11" s="11">
        <v>46082.0</v>
      </c>
      <c r="J11" s="11">
        <v>46091.0</v>
      </c>
      <c r="K11" s="10" t="s">
        <v>20</v>
      </c>
      <c r="L11" s="17"/>
      <c r="M11" s="13" t="str">
        <f t="shared" si="1"/>
        <v>fissa </v>
      </c>
      <c r="N11" s="13" t="str">
        <f t="shared" si="2"/>
        <v>fissa 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6" t="s">
        <v>75</v>
      </c>
      <c r="C12" s="7" t="s">
        <v>202</v>
      </c>
      <c r="D12" s="16"/>
      <c r="E12" s="9" t="s">
        <v>343</v>
      </c>
      <c r="F12" s="10" t="s">
        <v>344</v>
      </c>
      <c r="G12" s="10" t="s">
        <v>346</v>
      </c>
      <c r="H12" s="10" t="s">
        <v>66</v>
      </c>
      <c r="I12" s="11">
        <v>46082.0</v>
      </c>
      <c r="J12" s="11">
        <v>46091.0</v>
      </c>
      <c r="K12" s="10" t="s">
        <v>20</v>
      </c>
      <c r="L12" s="17"/>
      <c r="M12" s="13" t="str">
        <f t="shared" si="1"/>
        <v>mobile</v>
      </c>
      <c r="N12" s="13" t="str">
        <f t="shared" si="2"/>
        <v>mobile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" t="s">
        <v>55</v>
      </c>
      <c r="C13" s="7" t="s">
        <v>56</v>
      </c>
      <c r="D13" s="14" t="s">
        <v>347</v>
      </c>
      <c r="E13" s="9" t="s">
        <v>348</v>
      </c>
      <c r="F13" s="10" t="s">
        <v>349</v>
      </c>
      <c r="G13" s="10" t="s">
        <v>350</v>
      </c>
      <c r="H13" s="10" t="s">
        <v>66</v>
      </c>
      <c r="I13" s="11">
        <v>46083.0</v>
      </c>
      <c r="J13" s="11">
        <v>46084.0</v>
      </c>
      <c r="K13" s="10" t="s">
        <v>20</v>
      </c>
      <c r="L13" s="17"/>
      <c r="M13" s="13" t="str">
        <f t="shared" si="1"/>
        <v>mobile</v>
      </c>
      <c r="N13" s="13" t="str">
        <f t="shared" si="2"/>
        <v>mobile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" t="s">
        <v>55</v>
      </c>
      <c r="C14" s="7" t="s">
        <v>56</v>
      </c>
      <c r="D14" s="21"/>
      <c r="E14" s="9" t="s">
        <v>348</v>
      </c>
      <c r="F14" s="10" t="s">
        <v>349</v>
      </c>
      <c r="G14" s="10" t="s">
        <v>351</v>
      </c>
      <c r="H14" s="10" t="s">
        <v>68</v>
      </c>
      <c r="I14" s="11">
        <v>46083.0</v>
      </c>
      <c r="J14" s="11">
        <v>46084.0</v>
      </c>
      <c r="K14" s="10" t="s">
        <v>20</v>
      </c>
      <c r="L14" s="17"/>
      <c r="M14" s="13" t="str">
        <f t="shared" si="1"/>
        <v>fissa </v>
      </c>
      <c r="N14" s="13" t="str">
        <f t="shared" si="2"/>
        <v>fissa 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" t="s">
        <v>55</v>
      </c>
      <c r="C15" s="7" t="s">
        <v>56</v>
      </c>
      <c r="D15" s="8"/>
      <c r="E15" s="9" t="s">
        <v>348</v>
      </c>
      <c r="F15" s="10" t="s">
        <v>349</v>
      </c>
      <c r="G15" s="10" t="s">
        <v>352</v>
      </c>
      <c r="H15" s="10" t="s">
        <v>37</v>
      </c>
      <c r="I15" s="11">
        <v>46083.0</v>
      </c>
      <c r="J15" s="11">
        <v>46084.0</v>
      </c>
      <c r="K15" s="10" t="s">
        <v>20</v>
      </c>
      <c r="L15" s="17"/>
      <c r="M15" s="13" t="str">
        <f t="shared" si="1"/>
        <v>mobile</v>
      </c>
      <c r="N15" s="13" t="str">
        <f t="shared" si="2"/>
        <v>mobile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" t="s">
        <v>38</v>
      </c>
      <c r="C16" s="7" t="s">
        <v>39</v>
      </c>
      <c r="D16" s="14" t="s">
        <v>353</v>
      </c>
      <c r="E16" s="9" t="s">
        <v>354</v>
      </c>
      <c r="F16" s="10" t="s">
        <v>355</v>
      </c>
      <c r="G16" s="10" t="s">
        <v>356</v>
      </c>
      <c r="H16" s="10" t="s">
        <v>32</v>
      </c>
      <c r="I16" s="11">
        <v>46083.0</v>
      </c>
      <c r="J16" s="11">
        <v>46084.0</v>
      </c>
      <c r="K16" s="10" t="s">
        <v>20</v>
      </c>
      <c r="L16" s="17"/>
      <c r="M16" s="13" t="str">
        <f t="shared" si="1"/>
        <v>fissa </v>
      </c>
      <c r="N16" s="13" t="str">
        <f t="shared" si="2"/>
        <v>fissa 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" t="s">
        <v>38</v>
      </c>
      <c r="C17" s="7" t="s">
        <v>39</v>
      </c>
      <c r="D17" s="14" t="s">
        <v>357</v>
      </c>
      <c r="E17" s="9" t="s">
        <v>354</v>
      </c>
      <c r="F17" s="10" t="s">
        <v>355</v>
      </c>
      <c r="G17" s="10" t="s">
        <v>358</v>
      </c>
      <c r="H17" s="10" t="s">
        <v>37</v>
      </c>
      <c r="I17" s="11">
        <v>46083.0</v>
      </c>
      <c r="J17" s="11">
        <v>46083.0</v>
      </c>
      <c r="K17" s="10" t="s">
        <v>20</v>
      </c>
      <c r="L17" s="17"/>
      <c r="M17" s="13" t="str">
        <f t="shared" si="1"/>
        <v>mobile</v>
      </c>
      <c r="N17" s="13" t="str">
        <f t="shared" si="2"/>
        <v>mobile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6" t="s">
        <v>38</v>
      </c>
      <c r="C18" s="7" t="s">
        <v>39</v>
      </c>
      <c r="D18" s="14" t="s">
        <v>359</v>
      </c>
      <c r="E18" s="9" t="s">
        <v>360</v>
      </c>
      <c r="F18" s="10" t="s">
        <v>361</v>
      </c>
      <c r="G18" s="10" t="s">
        <v>362</v>
      </c>
      <c r="H18" s="10" t="s">
        <v>66</v>
      </c>
      <c r="I18" s="11">
        <v>46083.0</v>
      </c>
      <c r="J18" s="11">
        <v>46084.0</v>
      </c>
      <c r="K18" s="10" t="s">
        <v>20</v>
      </c>
      <c r="L18" s="17"/>
      <c r="M18" s="13" t="str">
        <f t="shared" si="1"/>
        <v>mobile</v>
      </c>
      <c r="N18" s="13" t="str">
        <f t="shared" si="2"/>
        <v>mobile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6" t="s">
        <v>38</v>
      </c>
      <c r="C19" s="7" t="s">
        <v>39</v>
      </c>
      <c r="D19" s="8"/>
      <c r="E19" s="9" t="s">
        <v>360</v>
      </c>
      <c r="F19" s="10" t="s">
        <v>361</v>
      </c>
      <c r="G19" s="10" t="s">
        <v>363</v>
      </c>
      <c r="H19" s="10" t="s">
        <v>68</v>
      </c>
      <c r="I19" s="11">
        <v>46083.0</v>
      </c>
      <c r="J19" s="11">
        <v>46084.0</v>
      </c>
      <c r="K19" s="10" t="s">
        <v>20</v>
      </c>
      <c r="L19" s="17"/>
      <c r="M19" s="13" t="str">
        <f t="shared" si="1"/>
        <v>fissa </v>
      </c>
      <c r="N19" s="13" t="str">
        <f t="shared" si="2"/>
        <v>fissa 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6" t="s">
        <v>38</v>
      </c>
      <c r="C20" s="7" t="s">
        <v>39</v>
      </c>
      <c r="D20" s="14"/>
      <c r="E20" s="9" t="s">
        <v>360</v>
      </c>
      <c r="F20" s="10" t="s">
        <v>361</v>
      </c>
      <c r="G20" s="10" t="s">
        <v>364</v>
      </c>
      <c r="H20" s="10" t="s">
        <v>37</v>
      </c>
      <c r="I20" s="11">
        <v>46083.0</v>
      </c>
      <c r="J20" s="11">
        <v>46084.0</v>
      </c>
      <c r="K20" s="10" t="s">
        <v>20</v>
      </c>
      <c r="L20" s="17"/>
      <c r="M20" s="13" t="str">
        <f t="shared" si="1"/>
        <v>mobile</v>
      </c>
      <c r="N20" s="13" t="str">
        <f t="shared" si="2"/>
        <v>mobile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6" t="s">
        <v>116</v>
      </c>
      <c r="C21" s="7" t="s">
        <v>128</v>
      </c>
      <c r="D21" s="14" t="s">
        <v>365</v>
      </c>
      <c r="E21" s="9" t="s">
        <v>366</v>
      </c>
      <c r="F21" s="10" t="s">
        <v>367</v>
      </c>
      <c r="G21" s="10" t="s">
        <v>368</v>
      </c>
      <c r="H21" s="10" t="s">
        <v>37</v>
      </c>
      <c r="I21" s="11">
        <v>46083.0</v>
      </c>
      <c r="J21" s="11">
        <v>46083.0</v>
      </c>
      <c r="K21" s="10" t="s">
        <v>20</v>
      </c>
      <c r="L21" s="17"/>
      <c r="M21" s="13" t="str">
        <f t="shared" si="1"/>
        <v>mobile</v>
      </c>
      <c r="N21" s="13" t="str">
        <f t="shared" si="2"/>
        <v>mobile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" t="s">
        <v>55</v>
      </c>
      <c r="C22" s="7" t="s">
        <v>56</v>
      </c>
      <c r="D22" s="8" t="s">
        <v>369</v>
      </c>
      <c r="E22" s="9" t="s">
        <v>370</v>
      </c>
      <c r="F22" s="10" t="s">
        <v>371</v>
      </c>
      <c r="G22" s="10" t="s">
        <v>372</v>
      </c>
      <c r="H22" s="10" t="s">
        <v>37</v>
      </c>
      <c r="I22" s="11">
        <v>46083.0</v>
      </c>
      <c r="J22" s="11">
        <v>46083.0</v>
      </c>
      <c r="K22" s="10" t="s">
        <v>20</v>
      </c>
      <c r="L22" s="17"/>
      <c r="M22" s="13" t="str">
        <f t="shared" si="1"/>
        <v>mobile</v>
      </c>
      <c r="N22" s="13" t="str">
        <f t="shared" si="2"/>
        <v>mobile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6" t="s">
        <v>55</v>
      </c>
      <c r="C23" s="7" t="s">
        <v>56</v>
      </c>
      <c r="D23" s="14"/>
      <c r="E23" s="9" t="s">
        <v>370</v>
      </c>
      <c r="F23" s="10" t="s">
        <v>371</v>
      </c>
      <c r="G23" s="10" t="s">
        <v>373</v>
      </c>
      <c r="H23" s="10" t="s">
        <v>54</v>
      </c>
      <c r="I23" s="19">
        <v>46083.0</v>
      </c>
      <c r="J23" s="11">
        <v>46093.0</v>
      </c>
      <c r="K23" s="10" t="s">
        <v>20</v>
      </c>
      <c r="L23" s="17"/>
      <c r="M23" s="13" t="str">
        <f t="shared" si="1"/>
        <v>easy r</v>
      </c>
      <c r="N23" s="13" t="str">
        <f t="shared" si="2"/>
        <v>easy r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6" t="s">
        <v>86</v>
      </c>
      <c r="C24" s="7" t="s">
        <v>87</v>
      </c>
      <c r="D24" s="8" t="s">
        <v>374</v>
      </c>
      <c r="E24" s="9" t="s">
        <v>375</v>
      </c>
      <c r="F24" s="10" t="s">
        <v>376</v>
      </c>
      <c r="G24" s="10" t="s">
        <v>377</v>
      </c>
      <c r="H24" s="10" t="s">
        <v>66</v>
      </c>
      <c r="I24" s="11">
        <v>46083.0</v>
      </c>
      <c r="J24" s="11">
        <v>46084.0</v>
      </c>
      <c r="K24" s="10" t="s">
        <v>20</v>
      </c>
      <c r="L24" s="17"/>
      <c r="M24" s="13" t="str">
        <f t="shared" si="1"/>
        <v>mobile</v>
      </c>
      <c r="N24" s="13" t="str">
        <f t="shared" si="2"/>
        <v>mobile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6" t="s">
        <v>86</v>
      </c>
      <c r="C25" s="7" t="s">
        <v>87</v>
      </c>
      <c r="D25" s="14"/>
      <c r="E25" s="9" t="s">
        <v>375</v>
      </c>
      <c r="F25" s="10" t="s">
        <v>376</v>
      </c>
      <c r="G25" s="10" t="s">
        <v>378</v>
      </c>
      <c r="H25" s="10" t="s">
        <v>68</v>
      </c>
      <c r="I25" s="11">
        <v>46083.0</v>
      </c>
      <c r="J25" s="11">
        <v>46084.0</v>
      </c>
      <c r="K25" s="10" t="s">
        <v>20</v>
      </c>
      <c r="L25" s="17"/>
      <c r="M25" s="13" t="str">
        <f t="shared" si="1"/>
        <v>fissa </v>
      </c>
      <c r="N25" s="13" t="str">
        <f t="shared" si="2"/>
        <v>fissa 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6" t="s">
        <v>86</v>
      </c>
      <c r="C26" s="7" t="s">
        <v>87</v>
      </c>
      <c r="D26" s="14"/>
      <c r="E26" s="9" t="s">
        <v>375</v>
      </c>
      <c r="F26" s="10" t="s">
        <v>376</v>
      </c>
      <c r="G26" s="10" t="s">
        <v>379</v>
      </c>
      <c r="H26" s="10" t="s">
        <v>37</v>
      </c>
      <c r="I26" s="11">
        <v>46083.0</v>
      </c>
      <c r="J26" s="15">
        <v>46084.0</v>
      </c>
      <c r="K26" s="12" t="s">
        <v>20</v>
      </c>
      <c r="L26" s="17"/>
      <c r="M26" s="13" t="str">
        <f t="shared" si="1"/>
        <v>mobile</v>
      </c>
      <c r="N26" s="13" t="str">
        <f t="shared" si="2"/>
        <v>mobile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6" t="s">
        <v>86</v>
      </c>
      <c r="C27" s="7" t="s">
        <v>87</v>
      </c>
      <c r="D27" s="8" t="s">
        <v>380</v>
      </c>
      <c r="E27" s="9" t="s">
        <v>381</v>
      </c>
      <c r="F27" s="10" t="s">
        <v>382</v>
      </c>
      <c r="G27" s="10" t="s">
        <v>383</v>
      </c>
      <c r="H27" s="10" t="s">
        <v>37</v>
      </c>
      <c r="I27" s="19">
        <v>46083.0</v>
      </c>
      <c r="J27" s="11">
        <v>46084.0</v>
      </c>
      <c r="K27" s="10" t="s">
        <v>20</v>
      </c>
      <c r="L27" s="17"/>
      <c r="M27" s="13" t="str">
        <f t="shared" si="1"/>
        <v>mobile</v>
      </c>
      <c r="N27" s="13" t="str">
        <f t="shared" si="2"/>
        <v>mobile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6" t="s">
        <v>86</v>
      </c>
      <c r="C28" s="7" t="s">
        <v>87</v>
      </c>
      <c r="D28" s="8"/>
      <c r="E28" s="9" t="s">
        <v>381</v>
      </c>
      <c r="F28" s="10" t="s">
        <v>382</v>
      </c>
      <c r="G28" s="10" t="s">
        <v>384</v>
      </c>
      <c r="H28" s="10" t="s">
        <v>37</v>
      </c>
      <c r="I28" s="19">
        <v>46083.0</v>
      </c>
      <c r="J28" s="15">
        <v>46084.0</v>
      </c>
      <c r="K28" s="12" t="s">
        <v>20</v>
      </c>
      <c r="L28" s="17"/>
      <c r="M28" s="13" t="str">
        <f t="shared" si="1"/>
        <v>mobile</v>
      </c>
      <c r="N28" s="13" t="str">
        <f t="shared" si="2"/>
        <v>mobile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6" t="s">
        <v>38</v>
      </c>
      <c r="C29" s="7" t="s">
        <v>39</v>
      </c>
      <c r="D29" s="8" t="s">
        <v>385</v>
      </c>
      <c r="E29" s="9" t="s">
        <v>386</v>
      </c>
      <c r="F29" s="10" t="s">
        <v>387</v>
      </c>
      <c r="G29" s="10" t="s">
        <v>388</v>
      </c>
      <c r="H29" s="10" t="s">
        <v>37</v>
      </c>
      <c r="I29" s="45">
        <v>46084.0</v>
      </c>
      <c r="J29" s="11">
        <v>46084.0</v>
      </c>
      <c r="K29" s="10" t="s">
        <v>20</v>
      </c>
      <c r="L29" s="17"/>
      <c r="M29" s="13" t="str">
        <f t="shared" si="1"/>
        <v>mobile</v>
      </c>
      <c r="N29" s="13" t="str">
        <f t="shared" si="2"/>
        <v>mobile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6" t="s">
        <v>38</v>
      </c>
      <c r="C30" s="7" t="s">
        <v>39</v>
      </c>
      <c r="D30" s="14" t="s">
        <v>389</v>
      </c>
      <c r="E30" s="9" t="s">
        <v>386</v>
      </c>
      <c r="F30" s="10" t="s">
        <v>387</v>
      </c>
      <c r="G30" s="10" t="s">
        <v>390</v>
      </c>
      <c r="H30" s="10" t="s">
        <v>32</v>
      </c>
      <c r="I30" s="19">
        <v>46084.0</v>
      </c>
      <c r="J30" s="11">
        <v>46086.0</v>
      </c>
      <c r="K30" s="10" t="s">
        <v>20</v>
      </c>
      <c r="L30" s="17"/>
      <c r="M30" s="13" t="str">
        <f t="shared" si="1"/>
        <v>fissa </v>
      </c>
      <c r="N30" s="13" t="str">
        <f t="shared" si="2"/>
        <v>fissa 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6" t="s">
        <v>38</v>
      </c>
      <c r="C31" s="7" t="s">
        <v>39</v>
      </c>
      <c r="D31" s="8"/>
      <c r="E31" s="9" t="s">
        <v>386</v>
      </c>
      <c r="F31" s="10" t="s">
        <v>387</v>
      </c>
      <c r="G31" s="10" t="s">
        <v>391</v>
      </c>
      <c r="H31" s="10" t="s">
        <v>37</v>
      </c>
      <c r="I31" s="11">
        <v>46084.0</v>
      </c>
      <c r="J31" s="15">
        <v>46086.0</v>
      </c>
      <c r="K31" s="12" t="s">
        <v>20</v>
      </c>
      <c r="L31" s="17"/>
      <c r="M31" s="13" t="str">
        <f t="shared" si="1"/>
        <v>mobile</v>
      </c>
      <c r="N31" s="13" t="str">
        <f t="shared" si="2"/>
        <v>mobile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6" t="s">
        <v>201</v>
      </c>
      <c r="C32" s="7" t="s">
        <v>202</v>
      </c>
      <c r="D32" s="14" t="s">
        <v>392</v>
      </c>
      <c r="E32" s="9" t="s">
        <v>393</v>
      </c>
      <c r="F32" s="10" t="s">
        <v>394</v>
      </c>
      <c r="G32" s="10" t="s">
        <v>395</v>
      </c>
      <c r="H32" s="10" t="s">
        <v>44</v>
      </c>
      <c r="I32" s="11">
        <v>46084.0</v>
      </c>
      <c r="J32" s="11">
        <v>46092.0</v>
      </c>
      <c r="K32" s="10" t="s">
        <v>20</v>
      </c>
      <c r="L32" s="17"/>
      <c r="M32" s="13" t="str">
        <f t="shared" si="1"/>
        <v>fissa </v>
      </c>
      <c r="N32" s="13" t="str">
        <f t="shared" si="2"/>
        <v>fissa 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6" t="s">
        <v>195</v>
      </c>
      <c r="C33" s="7" t="s">
        <v>333</v>
      </c>
      <c r="D33" s="8" t="s">
        <v>396</v>
      </c>
      <c r="E33" s="9" t="s">
        <v>397</v>
      </c>
      <c r="F33" s="10" t="s">
        <v>398</v>
      </c>
      <c r="G33" s="10" t="s">
        <v>399</v>
      </c>
      <c r="H33" s="10" t="s">
        <v>44</v>
      </c>
      <c r="I33" s="11">
        <v>46084.0</v>
      </c>
      <c r="J33" s="15">
        <v>46086.0</v>
      </c>
      <c r="K33" s="12" t="s">
        <v>20</v>
      </c>
      <c r="L33" s="17"/>
      <c r="M33" s="13" t="str">
        <f t="shared" si="1"/>
        <v>fissa </v>
      </c>
      <c r="N33" s="13" t="str">
        <f t="shared" si="2"/>
        <v>fissa 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6" t="s">
        <v>26</v>
      </c>
      <c r="C34" s="7" t="s">
        <v>27</v>
      </c>
      <c r="D34" s="14" t="s">
        <v>400</v>
      </c>
      <c r="E34" s="9" t="s">
        <v>401</v>
      </c>
      <c r="F34" s="10" t="s">
        <v>402</v>
      </c>
      <c r="G34" s="10" t="s">
        <v>403</v>
      </c>
      <c r="H34" s="10" t="s">
        <v>44</v>
      </c>
      <c r="I34" s="11">
        <v>46086.0</v>
      </c>
      <c r="J34" s="15">
        <v>46087.0</v>
      </c>
      <c r="K34" s="12" t="s">
        <v>20</v>
      </c>
      <c r="L34" s="17"/>
      <c r="M34" s="13" t="str">
        <f t="shared" si="1"/>
        <v>fissa </v>
      </c>
      <c r="N34" s="13" t="str">
        <f t="shared" si="2"/>
        <v>fissa 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6" t="s">
        <v>26</v>
      </c>
      <c r="C35" s="7" t="s">
        <v>27</v>
      </c>
      <c r="D35" s="8" t="s">
        <v>404</v>
      </c>
      <c r="E35" s="9" t="s">
        <v>405</v>
      </c>
      <c r="F35" s="10" t="s">
        <v>406</v>
      </c>
      <c r="G35" s="10" t="s">
        <v>407</v>
      </c>
      <c r="H35" s="10" t="s">
        <v>66</v>
      </c>
      <c r="I35" s="11">
        <v>46086.0</v>
      </c>
      <c r="J35" s="11">
        <v>46087.0</v>
      </c>
      <c r="K35" s="10" t="s">
        <v>20</v>
      </c>
      <c r="L35" s="17"/>
      <c r="M35" s="13" t="str">
        <f t="shared" si="1"/>
        <v>mobile</v>
      </c>
      <c r="N35" s="13" t="str">
        <f t="shared" si="2"/>
        <v>mobile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6" t="s">
        <v>26</v>
      </c>
      <c r="C36" s="7" t="s">
        <v>27</v>
      </c>
      <c r="D36" s="8"/>
      <c r="E36" s="9" t="s">
        <v>405</v>
      </c>
      <c r="F36" s="10" t="s">
        <v>406</v>
      </c>
      <c r="G36" s="10" t="s">
        <v>408</v>
      </c>
      <c r="H36" s="10" t="s">
        <v>68</v>
      </c>
      <c r="I36" s="11">
        <v>46086.0</v>
      </c>
      <c r="J36" s="11">
        <v>46087.0</v>
      </c>
      <c r="K36" s="10" t="s">
        <v>20</v>
      </c>
      <c r="L36" s="17"/>
      <c r="M36" s="13" t="str">
        <f t="shared" si="1"/>
        <v>fissa </v>
      </c>
      <c r="N36" s="13" t="str">
        <f t="shared" si="2"/>
        <v>fissa 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6" t="s">
        <v>38</v>
      </c>
      <c r="C37" s="7" t="s">
        <v>39</v>
      </c>
      <c r="D37" s="8" t="s">
        <v>409</v>
      </c>
      <c r="E37" s="9" t="s">
        <v>410</v>
      </c>
      <c r="F37" s="10" t="s">
        <v>411</v>
      </c>
      <c r="G37" s="10" t="s">
        <v>412</v>
      </c>
      <c r="H37" s="10" t="s">
        <v>66</v>
      </c>
      <c r="I37" s="11">
        <v>46086.0</v>
      </c>
      <c r="J37" s="11">
        <v>46087.0</v>
      </c>
      <c r="K37" s="10" t="s">
        <v>20</v>
      </c>
      <c r="L37" s="17"/>
      <c r="M37" s="13" t="str">
        <f t="shared" si="1"/>
        <v>mobile</v>
      </c>
      <c r="N37" s="13" t="str">
        <f t="shared" si="2"/>
        <v>mobile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6" t="s">
        <v>38</v>
      </c>
      <c r="C38" s="7" t="s">
        <v>39</v>
      </c>
      <c r="D38" s="14"/>
      <c r="E38" s="9" t="s">
        <v>410</v>
      </c>
      <c r="F38" s="10" t="s">
        <v>411</v>
      </c>
      <c r="G38" s="10" t="s">
        <v>413</v>
      </c>
      <c r="H38" s="10" t="s">
        <v>68</v>
      </c>
      <c r="I38" s="19">
        <v>46086.0</v>
      </c>
      <c r="J38" s="11">
        <v>46087.0</v>
      </c>
      <c r="K38" s="10" t="s">
        <v>20</v>
      </c>
      <c r="L38" s="17"/>
      <c r="M38" s="13" t="str">
        <f t="shared" si="1"/>
        <v>fissa </v>
      </c>
      <c r="N38" s="13" t="str">
        <f t="shared" si="2"/>
        <v>fissa 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6" t="s">
        <v>116</v>
      </c>
      <c r="C39" s="7" t="s">
        <v>76</v>
      </c>
      <c r="D39" s="8" t="s">
        <v>414</v>
      </c>
      <c r="E39" s="9" t="s">
        <v>415</v>
      </c>
      <c r="F39" s="10" t="s">
        <v>416</v>
      </c>
      <c r="G39" s="10" t="s">
        <v>417</v>
      </c>
      <c r="H39" s="10" t="s">
        <v>25</v>
      </c>
      <c r="I39" s="11">
        <v>46087.0</v>
      </c>
      <c r="J39" s="11">
        <v>46087.0</v>
      </c>
      <c r="K39" s="10" t="s">
        <v>20</v>
      </c>
      <c r="L39" s="17"/>
      <c r="M39" s="13" t="str">
        <f t="shared" si="1"/>
        <v>mobile</v>
      </c>
      <c r="N39" s="13" t="str">
        <f t="shared" si="2"/>
        <v>mobile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6" t="s">
        <v>116</v>
      </c>
      <c r="C40" s="7" t="s">
        <v>76</v>
      </c>
      <c r="D40" s="8"/>
      <c r="E40" s="9" t="s">
        <v>415</v>
      </c>
      <c r="F40" s="10" t="s">
        <v>416</v>
      </c>
      <c r="G40" s="10" t="s">
        <v>418</v>
      </c>
      <c r="H40" s="10" t="s">
        <v>25</v>
      </c>
      <c r="I40" s="11">
        <v>46087.0</v>
      </c>
      <c r="J40" s="11">
        <v>46087.0</v>
      </c>
      <c r="K40" s="10" t="s">
        <v>20</v>
      </c>
      <c r="L40" s="17"/>
      <c r="M40" s="13" t="str">
        <f t="shared" si="1"/>
        <v>mobile</v>
      </c>
      <c r="N40" s="13" t="str">
        <f t="shared" si="2"/>
        <v>mobile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6" t="s">
        <v>116</v>
      </c>
      <c r="C41" s="7" t="s">
        <v>76</v>
      </c>
      <c r="D41" s="8"/>
      <c r="E41" s="9" t="s">
        <v>415</v>
      </c>
      <c r="F41" s="10" t="s">
        <v>416</v>
      </c>
      <c r="G41" s="10" t="s">
        <v>419</v>
      </c>
      <c r="H41" s="10" t="s">
        <v>25</v>
      </c>
      <c r="I41" s="19">
        <v>46087.0</v>
      </c>
      <c r="J41" s="11">
        <v>46087.0</v>
      </c>
      <c r="K41" s="10" t="s">
        <v>20</v>
      </c>
      <c r="L41" s="17"/>
      <c r="M41" s="13" t="str">
        <f t="shared" si="1"/>
        <v>mobile</v>
      </c>
      <c r="N41" s="13" t="str">
        <f t="shared" si="2"/>
        <v>mobile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6" t="s">
        <v>116</v>
      </c>
      <c r="C42" s="7" t="s">
        <v>76</v>
      </c>
      <c r="D42" s="18"/>
      <c r="E42" s="9" t="s">
        <v>415</v>
      </c>
      <c r="F42" s="10" t="s">
        <v>416</v>
      </c>
      <c r="G42" s="10" t="s">
        <v>420</v>
      </c>
      <c r="H42" s="10" t="s">
        <v>25</v>
      </c>
      <c r="I42" s="19">
        <v>46087.0</v>
      </c>
      <c r="J42" s="11">
        <v>46087.0</v>
      </c>
      <c r="K42" s="10" t="s">
        <v>20</v>
      </c>
      <c r="L42" s="17"/>
      <c r="M42" s="13" t="str">
        <f t="shared" si="1"/>
        <v>mobile</v>
      </c>
      <c r="N42" s="13" t="str">
        <f t="shared" si="2"/>
        <v>mobile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6" t="s">
        <v>201</v>
      </c>
      <c r="C43" s="7" t="s">
        <v>202</v>
      </c>
      <c r="D43" s="14" t="s">
        <v>421</v>
      </c>
      <c r="E43" s="9" t="s">
        <v>422</v>
      </c>
      <c r="F43" s="10" t="s">
        <v>423</v>
      </c>
      <c r="G43" s="10" t="s">
        <v>424</v>
      </c>
      <c r="H43" s="10" t="s">
        <v>37</v>
      </c>
      <c r="I43" s="11">
        <v>46087.0</v>
      </c>
      <c r="J43" s="11">
        <v>46087.0</v>
      </c>
      <c r="K43" s="10" t="s">
        <v>20</v>
      </c>
      <c r="L43" s="17"/>
      <c r="M43" s="13" t="str">
        <f t="shared" si="1"/>
        <v>mobile</v>
      </c>
      <c r="N43" s="13" t="str">
        <f t="shared" si="2"/>
        <v>mobile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6" t="s">
        <v>38</v>
      </c>
      <c r="C44" s="7" t="s">
        <v>39</v>
      </c>
      <c r="D44" s="8" t="s">
        <v>425</v>
      </c>
      <c r="E44" s="9" t="s">
        <v>426</v>
      </c>
      <c r="F44" s="10" t="s">
        <v>427</v>
      </c>
      <c r="G44" s="10" t="s">
        <v>91</v>
      </c>
      <c r="H44" s="10" t="s">
        <v>54</v>
      </c>
      <c r="I44" s="11">
        <v>46090.0</v>
      </c>
      <c r="J44" s="11">
        <v>46098.0</v>
      </c>
      <c r="K44" s="10" t="s">
        <v>20</v>
      </c>
      <c r="L44" s="17"/>
      <c r="M44" s="13" t="str">
        <f t="shared" si="1"/>
        <v>easy r</v>
      </c>
      <c r="N44" s="13" t="str">
        <f t="shared" si="2"/>
        <v>easy r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6" t="s">
        <v>38</v>
      </c>
      <c r="C45" s="7" t="s">
        <v>39</v>
      </c>
      <c r="D45" s="14"/>
      <c r="E45" s="9" t="s">
        <v>426</v>
      </c>
      <c r="F45" s="10" t="s">
        <v>427</v>
      </c>
      <c r="G45" s="10" t="s">
        <v>91</v>
      </c>
      <c r="H45" s="10" t="s">
        <v>54</v>
      </c>
      <c r="I45" s="11">
        <v>46090.0</v>
      </c>
      <c r="J45" s="11">
        <v>46098.0</v>
      </c>
      <c r="K45" s="10" t="s">
        <v>20</v>
      </c>
      <c r="L45" s="17"/>
      <c r="M45" s="13" t="str">
        <f t="shared" si="1"/>
        <v>easy r</v>
      </c>
      <c r="N45" s="13" t="str">
        <f t="shared" si="2"/>
        <v>easy r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" t="s">
        <v>26</v>
      </c>
      <c r="C46" s="7" t="s">
        <v>27</v>
      </c>
      <c r="D46" s="14" t="s">
        <v>428</v>
      </c>
      <c r="E46" s="9" t="s">
        <v>429</v>
      </c>
      <c r="F46" s="10" t="s">
        <v>430</v>
      </c>
      <c r="G46" s="10" t="s">
        <v>431</v>
      </c>
      <c r="H46" s="10" t="s">
        <v>37</v>
      </c>
      <c r="I46" s="19">
        <v>46090.0</v>
      </c>
      <c r="J46" s="11">
        <v>46090.0</v>
      </c>
      <c r="K46" s="10" t="s">
        <v>20</v>
      </c>
      <c r="L46" s="17"/>
      <c r="M46" s="13" t="str">
        <f t="shared" si="1"/>
        <v>mobile</v>
      </c>
      <c r="N46" s="13" t="str">
        <f t="shared" si="2"/>
        <v>mobile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6" t="s">
        <v>26</v>
      </c>
      <c r="C47" s="7" t="s">
        <v>27</v>
      </c>
      <c r="D47" s="14" t="s">
        <v>432</v>
      </c>
      <c r="E47" s="9" t="s">
        <v>429</v>
      </c>
      <c r="F47" s="10" t="s">
        <v>430</v>
      </c>
      <c r="G47" s="10" t="s">
        <v>433</v>
      </c>
      <c r="H47" s="10" t="s">
        <v>37</v>
      </c>
      <c r="I47" s="11">
        <v>46108.0</v>
      </c>
      <c r="J47" s="11">
        <v>46108.0</v>
      </c>
      <c r="K47" s="10" t="s">
        <v>20</v>
      </c>
      <c r="L47" s="17"/>
      <c r="M47" s="13" t="str">
        <f t="shared" si="1"/>
        <v>mobile</v>
      </c>
      <c r="N47" s="13" t="str">
        <f t="shared" si="2"/>
        <v>mobile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6" t="s">
        <v>45</v>
      </c>
      <c r="C48" s="7" t="s">
        <v>46</v>
      </c>
      <c r="D48" s="14" t="s">
        <v>434</v>
      </c>
      <c r="E48" s="9" t="s">
        <v>435</v>
      </c>
      <c r="F48" s="10" t="s">
        <v>436</v>
      </c>
      <c r="G48" s="10" t="s">
        <v>437</v>
      </c>
      <c r="H48" s="10" t="s">
        <v>25</v>
      </c>
      <c r="I48" s="11">
        <v>46082.0</v>
      </c>
      <c r="J48" s="11">
        <v>46090.0</v>
      </c>
      <c r="K48" s="10" t="s">
        <v>20</v>
      </c>
      <c r="L48" s="17"/>
      <c r="M48" s="13" t="str">
        <f t="shared" si="1"/>
        <v>mobile</v>
      </c>
      <c r="N48" s="13" t="str">
        <f t="shared" si="2"/>
        <v>mobile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6" t="s">
        <v>45</v>
      </c>
      <c r="C49" s="7" t="s">
        <v>46</v>
      </c>
      <c r="D49" s="14"/>
      <c r="E49" s="9" t="s">
        <v>435</v>
      </c>
      <c r="F49" s="10" t="s">
        <v>436</v>
      </c>
      <c r="G49" s="10" t="s">
        <v>438</v>
      </c>
      <c r="H49" s="10" t="s">
        <v>25</v>
      </c>
      <c r="I49" s="11">
        <v>46082.0</v>
      </c>
      <c r="J49" s="11">
        <v>46090.0</v>
      </c>
      <c r="K49" s="10" t="s">
        <v>20</v>
      </c>
      <c r="L49" s="17"/>
      <c r="M49" s="13" t="str">
        <f t="shared" si="1"/>
        <v>mobile</v>
      </c>
      <c r="N49" s="13" t="str">
        <f t="shared" si="2"/>
        <v>mobile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6" t="s">
        <v>45</v>
      </c>
      <c r="C50" s="7" t="s">
        <v>46</v>
      </c>
      <c r="D50" s="8" t="s">
        <v>439</v>
      </c>
      <c r="E50" s="9" t="s">
        <v>440</v>
      </c>
      <c r="F50" s="10" t="s">
        <v>441</v>
      </c>
      <c r="G50" s="10" t="s">
        <v>442</v>
      </c>
      <c r="H50" s="10" t="s">
        <v>32</v>
      </c>
      <c r="I50" s="19">
        <v>46087.0</v>
      </c>
      <c r="J50" s="11">
        <v>46088.0</v>
      </c>
      <c r="K50" s="10" t="s">
        <v>20</v>
      </c>
      <c r="L50" s="17"/>
      <c r="M50" s="13" t="str">
        <f t="shared" si="1"/>
        <v>fissa </v>
      </c>
      <c r="N50" s="13" t="str">
        <f t="shared" si="2"/>
        <v>fissa 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6" t="s">
        <v>86</v>
      </c>
      <c r="C51" s="7" t="s">
        <v>443</v>
      </c>
      <c r="D51" s="14" t="s">
        <v>444</v>
      </c>
      <c r="E51" s="9" t="s">
        <v>445</v>
      </c>
      <c r="F51" s="10" t="s">
        <v>446</v>
      </c>
      <c r="G51" s="10" t="s">
        <v>447</v>
      </c>
      <c r="H51" s="10" t="s">
        <v>44</v>
      </c>
      <c r="I51" s="11">
        <v>46111.0</v>
      </c>
      <c r="J51" s="11">
        <v>46112.0</v>
      </c>
      <c r="K51" s="10" t="s">
        <v>20</v>
      </c>
      <c r="L51" s="17"/>
      <c r="M51" s="13" t="str">
        <f t="shared" si="1"/>
        <v>fissa </v>
      </c>
      <c r="N51" s="13" t="str">
        <f t="shared" si="2"/>
        <v>fissa 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6" t="s">
        <v>38</v>
      </c>
      <c r="C52" s="7" t="s">
        <v>39</v>
      </c>
      <c r="D52" s="8" t="s">
        <v>448</v>
      </c>
      <c r="E52" s="9" t="s">
        <v>449</v>
      </c>
      <c r="F52" s="10" t="s">
        <v>450</v>
      </c>
      <c r="G52" s="10" t="s">
        <v>451</v>
      </c>
      <c r="H52" s="10" t="s">
        <v>66</v>
      </c>
      <c r="I52" s="11">
        <v>46112.0</v>
      </c>
      <c r="J52" s="11">
        <v>46112.0</v>
      </c>
      <c r="K52" s="10" t="s">
        <v>20</v>
      </c>
      <c r="L52" s="17"/>
      <c r="M52" s="13" t="str">
        <f t="shared" si="1"/>
        <v>mobile</v>
      </c>
      <c r="N52" s="13" t="str">
        <f t="shared" si="2"/>
        <v>mobile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6" t="s">
        <v>38</v>
      </c>
      <c r="C53" s="7" t="s">
        <v>39</v>
      </c>
      <c r="D53" s="8"/>
      <c r="E53" s="9" t="s">
        <v>449</v>
      </c>
      <c r="F53" s="10" t="s">
        <v>450</v>
      </c>
      <c r="G53" s="10" t="s">
        <v>452</v>
      </c>
      <c r="H53" s="10" t="s">
        <v>68</v>
      </c>
      <c r="I53" s="19">
        <v>46112.0</v>
      </c>
      <c r="J53" s="11">
        <v>46112.0</v>
      </c>
      <c r="K53" s="10" t="s">
        <v>20</v>
      </c>
      <c r="L53" s="17"/>
      <c r="M53" s="13" t="str">
        <f t="shared" si="1"/>
        <v>fissa </v>
      </c>
      <c r="N53" s="13" t="str">
        <f t="shared" si="2"/>
        <v>fissa 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6" t="s">
        <v>38</v>
      </c>
      <c r="C54" s="7" t="s">
        <v>39</v>
      </c>
      <c r="D54" s="8" t="s">
        <v>453</v>
      </c>
      <c r="E54" s="9" t="s">
        <v>454</v>
      </c>
      <c r="F54" s="10" t="s">
        <v>455</v>
      </c>
      <c r="G54" s="10" t="s">
        <v>456</v>
      </c>
      <c r="H54" s="10" t="s">
        <v>66</v>
      </c>
      <c r="I54" s="19">
        <v>46100.0</v>
      </c>
      <c r="J54" s="11">
        <v>46100.0</v>
      </c>
      <c r="K54" s="10" t="s">
        <v>20</v>
      </c>
      <c r="L54" s="17"/>
      <c r="M54" s="13" t="str">
        <f t="shared" si="1"/>
        <v>mobile</v>
      </c>
      <c r="N54" s="13" t="str">
        <f t="shared" si="2"/>
        <v>mobile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6" t="s">
        <v>38</v>
      </c>
      <c r="C55" s="7" t="s">
        <v>39</v>
      </c>
      <c r="D55" s="8"/>
      <c r="E55" s="9" t="s">
        <v>454</v>
      </c>
      <c r="F55" s="10" t="s">
        <v>455</v>
      </c>
      <c r="G55" s="10" t="s">
        <v>457</v>
      </c>
      <c r="H55" s="10" t="s">
        <v>68</v>
      </c>
      <c r="I55" s="11">
        <v>46100.0</v>
      </c>
      <c r="J55" s="11">
        <v>46100.0</v>
      </c>
      <c r="K55" s="10" t="s">
        <v>20</v>
      </c>
      <c r="L55" s="17"/>
      <c r="M55" s="13" t="str">
        <f t="shared" si="1"/>
        <v>fissa </v>
      </c>
      <c r="N55" s="13" t="str">
        <f t="shared" si="2"/>
        <v>fissa 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6" t="s">
        <v>38</v>
      </c>
      <c r="C56" s="7" t="s">
        <v>39</v>
      </c>
      <c r="D56" s="8" t="s">
        <v>458</v>
      </c>
      <c r="E56" s="9" t="s">
        <v>454</v>
      </c>
      <c r="F56" s="10" t="s">
        <v>455</v>
      </c>
      <c r="G56" s="10" t="s">
        <v>459</v>
      </c>
      <c r="H56" s="10" t="s">
        <v>32</v>
      </c>
      <c r="I56" s="11">
        <v>46099.0</v>
      </c>
      <c r="J56" s="11">
        <v>46100.0</v>
      </c>
      <c r="K56" s="10" t="s">
        <v>20</v>
      </c>
      <c r="L56" s="17"/>
      <c r="M56" s="13" t="str">
        <f t="shared" si="1"/>
        <v>fissa </v>
      </c>
      <c r="N56" s="13" t="str">
        <f t="shared" si="2"/>
        <v>fissa 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6" t="s">
        <v>38</v>
      </c>
      <c r="C57" s="7" t="s">
        <v>39</v>
      </c>
      <c r="D57" s="8" t="s">
        <v>460</v>
      </c>
      <c r="E57" s="9" t="s">
        <v>461</v>
      </c>
      <c r="F57" s="10" t="s">
        <v>462</v>
      </c>
      <c r="G57" s="10" t="s">
        <v>463</v>
      </c>
      <c r="H57" s="10" t="s">
        <v>37</v>
      </c>
      <c r="I57" s="19">
        <v>46091.0</v>
      </c>
      <c r="J57" s="11">
        <v>46093.0</v>
      </c>
      <c r="K57" s="10" t="s">
        <v>20</v>
      </c>
      <c r="L57" s="17"/>
      <c r="M57" s="13" t="str">
        <f t="shared" si="1"/>
        <v>mobile</v>
      </c>
      <c r="N57" s="13" t="str">
        <f t="shared" si="2"/>
        <v>mobile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6" t="s">
        <v>38</v>
      </c>
      <c r="C58" s="7" t="s">
        <v>39</v>
      </c>
      <c r="D58" s="14"/>
      <c r="E58" s="9" t="s">
        <v>461</v>
      </c>
      <c r="F58" s="10" t="s">
        <v>462</v>
      </c>
      <c r="G58" s="10" t="s">
        <v>464</v>
      </c>
      <c r="H58" s="10" t="s">
        <v>37</v>
      </c>
      <c r="I58" s="11">
        <v>46091.0</v>
      </c>
      <c r="J58" s="11">
        <v>46093.0</v>
      </c>
      <c r="K58" s="10" t="s">
        <v>20</v>
      </c>
      <c r="L58" s="17"/>
      <c r="M58" s="13" t="str">
        <f t="shared" si="1"/>
        <v>mobile</v>
      </c>
      <c r="N58" s="13" t="str">
        <f t="shared" si="2"/>
        <v>mobile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6" t="s">
        <v>38</v>
      </c>
      <c r="C59" s="7" t="s">
        <v>39</v>
      </c>
      <c r="D59" s="14"/>
      <c r="E59" s="9" t="s">
        <v>461</v>
      </c>
      <c r="F59" s="10" t="s">
        <v>462</v>
      </c>
      <c r="G59" s="10" t="s">
        <v>465</v>
      </c>
      <c r="H59" s="10" t="s">
        <v>37</v>
      </c>
      <c r="I59" s="19">
        <v>46091.0</v>
      </c>
      <c r="J59" s="15">
        <v>46093.0</v>
      </c>
      <c r="K59" s="12" t="s">
        <v>20</v>
      </c>
      <c r="L59" s="17"/>
      <c r="M59" s="13" t="str">
        <f t="shared" si="1"/>
        <v>mobile</v>
      </c>
      <c r="N59" s="13" t="str">
        <f t="shared" si="2"/>
        <v>mobile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6" t="s">
        <v>38</v>
      </c>
      <c r="C60" s="7" t="s">
        <v>39</v>
      </c>
      <c r="D60" s="8"/>
      <c r="E60" s="9" t="s">
        <v>461</v>
      </c>
      <c r="F60" s="10" t="s">
        <v>462</v>
      </c>
      <c r="G60" s="10" t="s">
        <v>466</v>
      </c>
      <c r="H60" s="10" t="s">
        <v>37</v>
      </c>
      <c r="I60" s="20">
        <v>46091.0</v>
      </c>
      <c r="J60" s="11">
        <v>46093.0</v>
      </c>
      <c r="K60" s="10" t="s">
        <v>20</v>
      </c>
      <c r="L60" s="17"/>
      <c r="M60" s="13" t="str">
        <f t="shared" si="1"/>
        <v>mobile</v>
      </c>
      <c r="N60" s="13" t="str">
        <f t="shared" si="2"/>
        <v>mobile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6" t="s">
        <v>195</v>
      </c>
      <c r="C61" s="7" t="s">
        <v>333</v>
      </c>
      <c r="D61" s="14" t="s">
        <v>467</v>
      </c>
      <c r="E61" s="9" t="s">
        <v>468</v>
      </c>
      <c r="F61" s="10" t="s">
        <v>469</v>
      </c>
      <c r="G61" s="10" t="s">
        <v>470</v>
      </c>
      <c r="H61" s="10" t="s">
        <v>37</v>
      </c>
      <c r="I61" s="11">
        <v>46092.0</v>
      </c>
      <c r="J61" s="15">
        <v>46092.0</v>
      </c>
      <c r="K61" s="12" t="s">
        <v>20</v>
      </c>
      <c r="L61" s="17"/>
      <c r="M61" s="13" t="str">
        <f t="shared" si="1"/>
        <v>mobile</v>
      </c>
      <c r="N61" s="13" t="str">
        <f t="shared" si="2"/>
        <v>mobile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6" t="s">
        <v>195</v>
      </c>
      <c r="C62" s="7" t="s">
        <v>333</v>
      </c>
      <c r="D62" s="8"/>
      <c r="E62" s="9" t="s">
        <v>468</v>
      </c>
      <c r="F62" s="10" t="s">
        <v>469</v>
      </c>
      <c r="G62" s="10" t="s">
        <v>471</v>
      </c>
      <c r="H62" s="10" t="s">
        <v>37</v>
      </c>
      <c r="I62" s="19">
        <v>46092.0</v>
      </c>
      <c r="J62" s="11">
        <v>46092.0</v>
      </c>
      <c r="K62" s="10" t="s">
        <v>20</v>
      </c>
      <c r="L62" s="12"/>
      <c r="M62" s="13" t="str">
        <f t="shared" si="1"/>
        <v>mobile</v>
      </c>
      <c r="N62" s="13" t="str">
        <f t="shared" si="2"/>
        <v>mobile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6" t="s">
        <v>195</v>
      </c>
      <c r="C63" s="7" t="s">
        <v>333</v>
      </c>
      <c r="D63" s="8"/>
      <c r="E63" s="9" t="s">
        <v>468</v>
      </c>
      <c r="F63" s="10" t="s">
        <v>469</v>
      </c>
      <c r="G63" s="10" t="s">
        <v>472</v>
      </c>
      <c r="H63" s="10" t="s">
        <v>37</v>
      </c>
      <c r="I63" s="19">
        <v>46092.0</v>
      </c>
      <c r="J63" s="15">
        <v>46092.0</v>
      </c>
      <c r="K63" s="12" t="s">
        <v>20</v>
      </c>
      <c r="L63" s="12"/>
      <c r="M63" s="13" t="str">
        <f t="shared" si="1"/>
        <v>mobile</v>
      </c>
      <c r="N63" s="13" t="str">
        <f t="shared" si="2"/>
        <v>mobile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6" t="s">
        <v>127</v>
      </c>
      <c r="C64" s="7" t="s">
        <v>128</v>
      </c>
      <c r="D64" s="8" t="s">
        <v>473</v>
      </c>
      <c r="E64" s="9" t="s">
        <v>474</v>
      </c>
      <c r="F64" s="10" t="s">
        <v>475</v>
      </c>
      <c r="G64" s="10" t="s">
        <v>476</v>
      </c>
      <c r="H64" s="10" t="s">
        <v>68</v>
      </c>
      <c r="I64" s="11">
        <v>46090.0</v>
      </c>
      <c r="J64" s="11">
        <v>46092.0</v>
      </c>
      <c r="K64" s="10" t="s">
        <v>20</v>
      </c>
      <c r="L64" s="12"/>
      <c r="M64" s="13" t="str">
        <f t="shared" si="1"/>
        <v>fissa </v>
      </c>
      <c r="N64" s="13" t="str">
        <f t="shared" si="2"/>
        <v>fissa 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6" t="s">
        <v>127</v>
      </c>
      <c r="C65" s="7" t="s">
        <v>128</v>
      </c>
      <c r="D65" s="14"/>
      <c r="E65" s="9" t="s">
        <v>474</v>
      </c>
      <c r="F65" s="10" t="s">
        <v>475</v>
      </c>
      <c r="G65" s="10" t="s">
        <v>477</v>
      </c>
      <c r="H65" s="10" t="s">
        <v>66</v>
      </c>
      <c r="I65" s="11">
        <v>46090.0</v>
      </c>
      <c r="J65" s="11">
        <v>46092.0</v>
      </c>
      <c r="K65" s="10" t="s">
        <v>20</v>
      </c>
      <c r="L65" s="12"/>
      <c r="M65" s="13" t="str">
        <f t="shared" si="1"/>
        <v>mobile</v>
      </c>
      <c r="N65" s="13" t="str">
        <f t="shared" si="2"/>
        <v>mobile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6" t="s">
        <v>13</v>
      </c>
      <c r="C66" s="7" t="s">
        <v>142</v>
      </c>
      <c r="D66" s="8" t="s">
        <v>478</v>
      </c>
      <c r="E66" s="9" t="s">
        <v>479</v>
      </c>
      <c r="F66" s="10" t="s">
        <v>480</v>
      </c>
      <c r="G66" s="10" t="s">
        <v>481</v>
      </c>
      <c r="H66" s="10" t="s">
        <v>25</v>
      </c>
      <c r="I66" s="11">
        <v>46091.0</v>
      </c>
      <c r="J66" s="11">
        <v>46092.0</v>
      </c>
      <c r="K66" s="10" t="s">
        <v>20</v>
      </c>
      <c r="L66" s="12"/>
      <c r="M66" s="13" t="str">
        <f t="shared" si="1"/>
        <v>mobile</v>
      </c>
      <c r="N66" s="13" t="str">
        <f t="shared" si="2"/>
        <v>mobile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6" t="s">
        <v>13</v>
      </c>
      <c r="C67" s="7" t="s">
        <v>142</v>
      </c>
      <c r="D67" s="14"/>
      <c r="E67" s="9" t="s">
        <v>479</v>
      </c>
      <c r="F67" s="10" t="s">
        <v>480</v>
      </c>
      <c r="G67" s="10" t="s">
        <v>482</v>
      </c>
      <c r="H67" s="10" t="s">
        <v>44</v>
      </c>
      <c r="I67" s="11">
        <v>46091.0</v>
      </c>
      <c r="J67" s="11">
        <v>46092.0</v>
      </c>
      <c r="K67" s="10" t="s">
        <v>20</v>
      </c>
      <c r="L67" s="12"/>
      <c r="M67" s="13" t="str">
        <f t="shared" si="1"/>
        <v>fissa </v>
      </c>
      <c r="N67" s="13" t="str">
        <f t="shared" si="2"/>
        <v>fissa 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6" t="s">
        <v>195</v>
      </c>
      <c r="C68" s="7" t="s">
        <v>333</v>
      </c>
      <c r="D68" s="8" t="s">
        <v>483</v>
      </c>
      <c r="E68" s="9" t="s">
        <v>484</v>
      </c>
      <c r="F68" s="10" t="s">
        <v>485</v>
      </c>
      <c r="G68" s="10" t="s">
        <v>486</v>
      </c>
      <c r="H68" s="10" t="s">
        <v>37</v>
      </c>
      <c r="I68" s="11">
        <v>46091.0</v>
      </c>
      <c r="J68" s="11">
        <v>46091.0</v>
      </c>
      <c r="K68" s="10" t="s">
        <v>20</v>
      </c>
      <c r="L68" s="12"/>
      <c r="M68" s="13" t="str">
        <f t="shared" si="1"/>
        <v>mobile</v>
      </c>
      <c r="N68" s="13" t="str">
        <f t="shared" si="2"/>
        <v>mobile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6" t="s">
        <v>86</v>
      </c>
      <c r="C69" s="7" t="s">
        <v>56</v>
      </c>
      <c r="D69" s="8" t="s">
        <v>487</v>
      </c>
      <c r="E69" s="9" t="s">
        <v>488</v>
      </c>
      <c r="F69" s="10" t="s">
        <v>489</v>
      </c>
      <c r="G69" s="10" t="s">
        <v>60</v>
      </c>
      <c r="H69" s="10" t="s">
        <v>54</v>
      </c>
      <c r="I69" s="19">
        <v>46092.0</v>
      </c>
      <c r="J69" s="11">
        <v>46100.0</v>
      </c>
      <c r="K69" s="10" t="s">
        <v>20</v>
      </c>
      <c r="L69" s="12"/>
      <c r="M69" s="13" t="str">
        <f t="shared" si="1"/>
        <v>easy r</v>
      </c>
      <c r="N69" s="13" t="str">
        <f t="shared" si="2"/>
        <v>easy r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6" t="s">
        <v>86</v>
      </c>
      <c r="C70" s="7" t="s">
        <v>87</v>
      </c>
      <c r="D70" s="14" t="s">
        <v>490</v>
      </c>
      <c r="E70" s="9" t="s">
        <v>491</v>
      </c>
      <c r="F70" s="10" t="s">
        <v>492</v>
      </c>
      <c r="G70" s="10" t="s">
        <v>493</v>
      </c>
      <c r="H70" s="10" t="s">
        <v>44</v>
      </c>
      <c r="I70" s="11">
        <v>46093.0</v>
      </c>
      <c r="J70" s="11">
        <v>46094.0</v>
      </c>
      <c r="K70" s="10" t="s">
        <v>20</v>
      </c>
      <c r="L70" s="17"/>
      <c r="M70" s="13" t="str">
        <f t="shared" si="1"/>
        <v>fissa </v>
      </c>
      <c r="N70" s="13" t="str">
        <f t="shared" si="2"/>
        <v>fissa 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6" t="s">
        <v>494</v>
      </c>
      <c r="C71" s="7" t="s">
        <v>46</v>
      </c>
      <c r="D71" s="8" t="s">
        <v>495</v>
      </c>
      <c r="E71" s="9" t="s">
        <v>496</v>
      </c>
      <c r="F71" s="10" t="s">
        <v>441</v>
      </c>
      <c r="G71" s="10" t="s">
        <v>497</v>
      </c>
      <c r="H71" s="10" t="s">
        <v>32</v>
      </c>
      <c r="I71" s="11">
        <v>46093.0</v>
      </c>
      <c r="J71" s="11">
        <v>46094.0</v>
      </c>
      <c r="K71" s="10" t="s">
        <v>20</v>
      </c>
      <c r="L71" s="17"/>
      <c r="M71" s="13" t="str">
        <f t="shared" si="1"/>
        <v>fissa </v>
      </c>
      <c r="N71" s="13" t="str">
        <f t="shared" si="2"/>
        <v>fissa 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6" t="s">
        <v>494</v>
      </c>
      <c r="C72" s="7" t="s">
        <v>46</v>
      </c>
      <c r="D72" s="8" t="s">
        <v>498</v>
      </c>
      <c r="E72" s="9" t="s">
        <v>496</v>
      </c>
      <c r="F72" s="10" t="s">
        <v>441</v>
      </c>
      <c r="G72" s="10" t="s">
        <v>499</v>
      </c>
      <c r="H72" s="10" t="s">
        <v>37</v>
      </c>
      <c r="I72" s="11">
        <v>46093.0</v>
      </c>
      <c r="J72" s="11">
        <v>46094.0</v>
      </c>
      <c r="K72" s="10" t="s">
        <v>20</v>
      </c>
      <c r="L72" s="17"/>
      <c r="M72" s="13" t="str">
        <f t="shared" si="1"/>
        <v>mobile</v>
      </c>
      <c r="N72" s="13" t="str">
        <f t="shared" si="2"/>
        <v>mobile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6" t="s">
        <v>494</v>
      </c>
      <c r="C73" s="7" t="s">
        <v>46</v>
      </c>
      <c r="D73" s="14"/>
      <c r="E73" s="9" t="s">
        <v>496</v>
      </c>
      <c r="F73" s="10" t="s">
        <v>441</v>
      </c>
      <c r="G73" s="10" t="s">
        <v>500</v>
      </c>
      <c r="H73" s="10" t="s">
        <v>37</v>
      </c>
      <c r="I73" s="11">
        <v>46093.0</v>
      </c>
      <c r="J73" s="11">
        <v>46094.0</v>
      </c>
      <c r="K73" s="10" t="s">
        <v>20</v>
      </c>
      <c r="L73" s="17"/>
      <c r="M73" s="13" t="str">
        <f t="shared" si="1"/>
        <v>mobile</v>
      </c>
      <c r="N73" s="13" t="str">
        <f t="shared" si="2"/>
        <v>mobile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6" t="s">
        <v>494</v>
      </c>
      <c r="C74" s="7" t="s">
        <v>46</v>
      </c>
      <c r="D74" s="8"/>
      <c r="E74" s="9" t="s">
        <v>496</v>
      </c>
      <c r="F74" s="10" t="s">
        <v>441</v>
      </c>
      <c r="G74" s="10" t="s">
        <v>501</v>
      </c>
      <c r="H74" s="10" t="s">
        <v>25</v>
      </c>
      <c r="I74" s="11">
        <v>46093.0</v>
      </c>
      <c r="J74" s="11">
        <v>46094.0</v>
      </c>
      <c r="K74" s="10" t="s">
        <v>20</v>
      </c>
      <c r="L74" s="17"/>
      <c r="M74" s="13" t="str">
        <f t="shared" si="1"/>
        <v>mobile</v>
      </c>
      <c r="N74" s="13" t="str">
        <f t="shared" si="2"/>
        <v>mobile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6" t="s">
        <v>494</v>
      </c>
      <c r="C75" s="7" t="s">
        <v>46</v>
      </c>
      <c r="D75" s="18"/>
      <c r="E75" s="9" t="s">
        <v>496</v>
      </c>
      <c r="F75" s="10" t="s">
        <v>441</v>
      </c>
      <c r="G75" s="10" t="s">
        <v>502</v>
      </c>
      <c r="H75" s="10" t="s">
        <v>25</v>
      </c>
      <c r="I75" s="11">
        <v>46093.0</v>
      </c>
      <c r="J75" s="11">
        <v>46094.0</v>
      </c>
      <c r="K75" s="10" t="s">
        <v>20</v>
      </c>
      <c r="L75" s="17"/>
      <c r="M75" s="13" t="str">
        <f t="shared" si="1"/>
        <v>mobile</v>
      </c>
      <c r="N75" s="13" t="str">
        <f t="shared" si="2"/>
        <v>mobile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6" t="s">
        <v>494</v>
      </c>
      <c r="C76" s="7" t="s">
        <v>46</v>
      </c>
      <c r="D76" s="8"/>
      <c r="E76" s="9" t="s">
        <v>496</v>
      </c>
      <c r="F76" s="10" t="s">
        <v>441</v>
      </c>
      <c r="G76" s="10" t="s">
        <v>503</v>
      </c>
      <c r="H76" s="10" t="s">
        <v>25</v>
      </c>
      <c r="I76" s="11">
        <v>46093.0</v>
      </c>
      <c r="J76" s="11">
        <v>46094.0</v>
      </c>
      <c r="K76" s="10" t="s">
        <v>20</v>
      </c>
      <c r="L76" s="17"/>
      <c r="M76" s="13" t="str">
        <f t="shared" si="1"/>
        <v>mobile</v>
      </c>
      <c r="N76" s="13" t="str">
        <f t="shared" si="2"/>
        <v>mobile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6" t="s">
        <v>494</v>
      </c>
      <c r="C77" s="7" t="s">
        <v>46</v>
      </c>
      <c r="D77" s="21"/>
      <c r="E77" s="9" t="s">
        <v>496</v>
      </c>
      <c r="F77" s="10" t="s">
        <v>441</v>
      </c>
      <c r="G77" s="10" t="s">
        <v>504</v>
      </c>
      <c r="H77" s="10" t="s">
        <v>25</v>
      </c>
      <c r="I77" s="11">
        <v>46093.0</v>
      </c>
      <c r="J77" s="11">
        <v>46094.0</v>
      </c>
      <c r="K77" s="10" t="s">
        <v>20</v>
      </c>
      <c r="L77" s="17"/>
      <c r="M77" s="13" t="str">
        <f t="shared" si="1"/>
        <v>mobile</v>
      </c>
      <c r="N77" s="13" t="str">
        <f t="shared" si="2"/>
        <v>mobile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6" t="s">
        <v>494</v>
      </c>
      <c r="C78" s="7" t="s">
        <v>46</v>
      </c>
      <c r="D78" s="8" t="s">
        <v>505</v>
      </c>
      <c r="E78" s="9" t="s">
        <v>506</v>
      </c>
      <c r="F78" s="10" t="s">
        <v>507</v>
      </c>
      <c r="G78" s="10" t="s">
        <v>508</v>
      </c>
      <c r="H78" s="10" t="s">
        <v>37</v>
      </c>
      <c r="I78" s="11">
        <v>46092.0</v>
      </c>
      <c r="J78" s="15">
        <v>46092.0</v>
      </c>
      <c r="K78" s="12" t="s">
        <v>20</v>
      </c>
      <c r="L78" s="17"/>
      <c r="M78" s="13" t="str">
        <f t="shared" si="1"/>
        <v>mobile</v>
      </c>
      <c r="N78" s="13" t="str">
        <f t="shared" si="2"/>
        <v>mobile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6" t="s">
        <v>494</v>
      </c>
      <c r="C79" s="7" t="s">
        <v>46</v>
      </c>
      <c r="D79" s="21"/>
      <c r="E79" s="9" t="s">
        <v>506</v>
      </c>
      <c r="F79" s="10" t="s">
        <v>507</v>
      </c>
      <c r="G79" s="10" t="s">
        <v>509</v>
      </c>
      <c r="H79" s="10" t="s">
        <v>37</v>
      </c>
      <c r="I79" s="11">
        <v>46092.0</v>
      </c>
      <c r="J79" s="11">
        <v>46092.0</v>
      </c>
      <c r="K79" s="10" t="s">
        <v>20</v>
      </c>
      <c r="L79" s="17"/>
      <c r="M79" s="13" t="str">
        <f t="shared" si="1"/>
        <v>mobile</v>
      </c>
      <c r="N79" s="13" t="str">
        <f t="shared" si="2"/>
        <v>mobile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6" t="s">
        <v>494</v>
      </c>
      <c r="C80" s="7" t="s">
        <v>46</v>
      </c>
      <c r="D80" s="14" t="s">
        <v>510</v>
      </c>
      <c r="E80" s="9" t="s">
        <v>511</v>
      </c>
      <c r="F80" s="10" t="s">
        <v>512</v>
      </c>
      <c r="G80" s="10" t="s">
        <v>513</v>
      </c>
      <c r="H80" s="10" t="s">
        <v>54</v>
      </c>
      <c r="I80" s="11">
        <v>46092.0</v>
      </c>
      <c r="J80" s="11">
        <v>46100.0</v>
      </c>
      <c r="K80" s="10" t="s">
        <v>20</v>
      </c>
      <c r="L80" s="17"/>
      <c r="M80" s="13" t="str">
        <f t="shared" si="1"/>
        <v>easy r</v>
      </c>
      <c r="N80" s="13" t="str">
        <f t="shared" si="2"/>
        <v>easy r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6" t="s">
        <v>494</v>
      </c>
      <c r="C81" s="7" t="s">
        <v>46</v>
      </c>
      <c r="D81" s="8" t="s">
        <v>514</v>
      </c>
      <c r="E81" s="9" t="s">
        <v>511</v>
      </c>
      <c r="F81" s="10" t="s">
        <v>512</v>
      </c>
      <c r="G81" s="10" t="s">
        <v>515</v>
      </c>
      <c r="H81" s="10" t="s">
        <v>66</v>
      </c>
      <c r="I81" s="11">
        <v>46092.0</v>
      </c>
      <c r="J81" s="15">
        <v>46094.0</v>
      </c>
      <c r="K81" s="12" t="s">
        <v>20</v>
      </c>
      <c r="L81" s="17"/>
      <c r="M81" s="13" t="str">
        <f t="shared" si="1"/>
        <v>mobile</v>
      </c>
      <c r="N81" s="13" t="str">
        <f t="shared" si="2"/>
        <v>mobile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6" t="s">
        <v>494</v>
      </c>
      <c r="C82" s="7" t="s">
        <v>46</v>
      </c>
      <c r="D82" s="8"/>
      <c r="E82" s="9" t="s">
        <v>511</v>
      </c>
      <c r="F82" s="10" t="s">
        <v>512</v>
      </c>
      <c r="G82" s="10" t="s">
        <v>516</v>
      </c>
      <c r="H82" s="10" t="s">
        <v>68</v>
      </c>
      <c r="I82" s="11">
        <v>46092.0</v>
      </c>
      <c r="J82" s="15">
        <v>46094.0</v>
      </c>
      <c r="K82" s="12" t="s">
        <v>20</v>
      </c>
      <c r="L82" s="17"/>
      <c r="M82" s="13" t="str">
        <f t="shared" si="1"/>
        <v>fissa </v>
      </c>
      <c r="N82" s="13" t="str">
        <f t="shared" si="2"/>
        <v>fissa 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6" t="s">
        <v>494</v>
      </c>
      <c r="C83" s="7" t="s">
        <v>46</v>
      </c>
      <c r="D83" s="21"/>
      <c r="E83" s="9" t="s">
        <v>511</v>
      </c>
      <c r="F83" s="10" t="s">
        <v>512</v>
      </c>
      <c r="G83" s="10" t="s">
        <v>517</v>
      </c>
      <c r="H83" s="10" t="s">
        <v>37</v>
      </c>
      <c r="I83" s="11">
        <v>46092.0</v>
      </c>
      <c r="J83" s="11">
        <v>46094.0</v>
      </c>
      <c r="K83" s="10" t="s">
        <v>20</v>
      </c>
      <c r="L83" s="17"/>
      <c r="M83" s="13" t="str">
        <f t="shared" si="1"/>
        <v>mobile</v>
      </c>
      <c r="N83" s="13" t="str">
        <f t="shared" si="2"/>
        <v>mobile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6" t="s">
        <v>26</v>
      </c>
      <c r="C84" s="7" t="s">
        <v>27</v>
      </c>
      <c r="D84" s="14" t="s">
        <v>518</v>
      </c>
      <c r="E84" s="9" t="s">
        <v>519</v>
      </c>
      <c r="F84" s="10" t="s">
        <v>520</v>
      </c>
      <c r="G84" s="10" t="s">
        <v>521</v>
      </c>
      <c r="H84" s="10" t="s">
        <v>37</v>
      </c>
      <c r="I84" s="11">
        <v>46093.0</v>
      </c>
      <c r="J84" s="11">
        <v>46093.0</v>
      </c>
      <c r="K84" s="10" t="s">
        <v>20</v>
      </c>
      <c r="L84" s="17"/>
      <c r="M84" s="13" t="str">
        <f t="shared" si="1"/>
        <v>mobile</v>
      </c>
      <c r="N84" s="13" t="str">
        <f t="shared" si="2"/>
        <v>mobile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6" t="s">
        <v>201</v>
      </c>
      <c r="C85" s="7" t="s">
        <v>202</v>
      </c>
      <c r="D85" s="14" t="s">
        <v>522</v>
      </c>
      <c r="E85" s="9" t="s">
        <v>523</v>
      </c>
      <c r="F85" s="10" t="s">
        <v>524</v>
      </c>
      <c r="G85" s="10" t="s">
        <v>525</v>
      </c>
      <c r="H85" s="10" t="s">
        <v>37</v>
      </c>
      <c r="I85" s="45">
        <v>46092.0</v>
      </c>
      <c r="J85" s="11">
        <v>46092.0</v>
      </c>
      <c r="K85" s="10" t="s">
        <v>20</v>
      </c>
      <c r="L85" s="17"/>
      <c r="M85" s="13" t="str">
        <f t="shared" si="1"/>
        <v>mobile</v>
      </c>
      <c r="N85" s="13" t="str">
        <f t="shared" si="2"/>
        <v>mobile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6" t="s">
        <v>38</v>
      </c>
      <c r="C86" s="7" t="s">
        <v>39</v>
      </c>
      <c r="D86" s="8" t="s">
        <v>526</v>
      </c>
      <c r="E86" s="9" t="s">
        <v>527</v>
      </c>
      <c r="F86" s="10" t="s">
        <v>528</v>
      </c>
      <c r="G86" s="10" t="s">
        <v>91</v>
      </c>
      <c r="H86" s="10" t="s">
        <v>54</v>
      </c>
      <c r="I86" s="19">
        <v>46082.0</v>
      </c>
      <c r="J86" s="11">
        <v>46083.0</v>
      </c>
      <c r="K86" s="10" t="s">
        <v>20</v>
      </c>
      <c r="L86" s="17"/>
      <c r="M86" s="13" t="str">
        <f t="shared" si="1"/>
        <v>easy r</v>
      </c>
      <c r="N86" s="13" t="str">
        <f t="shared" si="2"/>
        <v>easy r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6" t="s">
        <v>86</v>
      </c>
      <c r="C87" s="7" t="s">
        <v>443</v>
      </c>
      <c r="D87" s="22" t="s">
        <v>88</v>
      </c>
      <c r="E87" s="9" t="s">
        <v>89</v>
      </c>
      <c r="F87" s="10" t="s">
        <v>90</v>
      </c>
      <c r="G87" s="10" t="s">
        <v>91</v>
      </c>
      <c r="H87" s="10" t="s">
        <v>54</v>
      </c>
      <c r="I87" s="11">
        <v>46093.0</v>
      </c>
      <c r="J87" s="11"/>
      <c r="K87" s="10" t="s">
        <v>529</v>
      </c>
      <c r="L87" s="17"/>
      <c r="M87" s="13" t="str">
        <f t="shared" si="1"/>
        <v>easy r</v>
      </c>
      <c r="N87" s="13" t="str">
        <f t="shared" si="2"/>
        <v/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6" t="s">
        <v>38</v>
      </c>
      <c r="C88" s="7" t="s">
        <v>39</v>
      </c>
      <c r="D88" s="14" t="s">
        <v>530</v>
      </c>
      <c r="E88" s="9" t="s">
        <v>531</v>
      </c>
      <c r="F88" s="10" t="s">
        <v>532</v>
      </c>
      <c r="G88" s="10" t="s">
        <v>533</v>
      </c>
      <c r="H88" s="10" t="s">
        <v>32</v>
      </c>
      <c r="I88" s="11">
        <v>46094.0</v>
      </c>
      <c r="J88" s="11">
        <v>46097.0</v>
      </c>
      <c r="K88" s="10" t="s">
        <v>20</v>
      </c>
      <c r="L88" s="17"/>
      <c r="M88" s="13" t="str">
        <f t="shared" si="1"/>
        <v>fissa </v>
      </c>
      <c r="N88" s="13" t="str">
        <f t="shared" si="2"/>
        <v>fissa 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6" t="s">
        <v>38</v>
      </c>
      <c r="C89" s="7" t="s">
        <v>39</v>
      </c>
      <c r="D89" s="8"/>
      <c r="E89" s="9" t="s">
        <v>531</v>
      </c>
      <c r="F89" s="10" t="s">
        <v>532</v>
      </c>
      <c r="G89" s="10" t="s">
        <v>534</v>
      </c>
      <c r="H89" s="10" t="s">
        <v>37</v>
      </c>
      <c r="I89" s="45">
        <v>46094.0</v>
      </c>
      <c r="J89" s="11">
        <v>46097.0</v>
      </c>
      <c r="K89" s="10" t="s">
        <v>20</v>
      </c>
      <c r="L89" s="17"/>
      <c r="M89" s="13" t="str">
        <f t="shared" si="1"/>
        <v>mobile</v>
      </c>
      <c r="N89" s="13" t="str">
        <f t="shared" si="2"/>
        <v>mobile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6" t="s">
        <v>26</v>
      </c>
      <c r="C90" s="7" t="s">
        <v>27</v>
      </c>
      <c r="D90" s="8" t="s">
        <v>535</v>
      </c>
      <c r="E90" s="9" t="s">
        <v>401</v>
      </c>
      <c r="F90" s="10" t="s">
        <v>402</v>
      </c>
      <c r="G90" s="10" t="s">
        <v>536</v>
      </c>
      <c r="H90" s="10" t="s">
        <v>537</v>
      </c>
      <c r="I90" s="11">
        <v>46094.0</v>
      </c>
      <c r="J90" s="11">
        <v>46094.0</v>
      </c>
      <c r="K90" s="10" t="s">
        <v>20</v>
      </c>
      <c r="L90" s="17"/>
      <c r="M90" s="13" t="str">
        <f t="shared" si="1"/>
        <v>fissa </v>
      </c>
      <c r="N90" s="13" t="str">
        <f t="shared" si="2"/>
        <v>fissa 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6" t="s">
        <v>38</v>
      </c>
      <c r="C91" s="7" t="s">
        <v>39</v>
      </c>
      <c r="D91" s="8" t="s">
        <v>538</v>
      </c>
      <c r="E91" s="9" t="s">
        <v>539</v>
      </c>
      <c r="F91" s="10" t="s">
        <v>540</v>
      </c>
      <c r="G91" s="10" t="s">
        <v>541</v>
      </c>
      <c r="H91" s="10" t="s">
        <v>37</v>
      </c>
      <c r="I91" s="11">
        <v>46094.0</v>
      </c>
      <c r="J91" s="15">
        <v>46094.0</v>
      </c>
      <c r="K91" s="12" t="s">
        <v>20</v>
      </c>
      <c r="L91" s="17"/>
      <c r="M91" s="13" t="str">
        <f t="shared" si="1"/>
        <v>mobile</v>
      </c>
      <c r="N91" s="13" t="str">
        <f t="shared" si="2"/>
        <v>mobile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6" t="s">
        <v>38</v>
      </c>
      <c r="C92" s="7" t="s">
        <v>39</v>
      </c>
      <c r="D92" s="14" t="s">
        <v>542</v>
      </c>
      <c r="E92" s="9" t="s">
        <v>326</v>
      </c>
      <c r="F92" s="10" t="s">
        <v>543</v>
      </c>
      <c r="G92" s="10" t="s">
        <v>544</v>
      </c>
      <c r="H92" s="10" t="s">
        <v>25</v>
      </c>
      <c r="I92" s="11">
        <v>46094.0</v>
      </c>
      <c r="J92" s="15">
        <v>46094.0</v>
      </c>
      <c r="K92" s="12" t="s">
        <v>20</v>
      </c>
      <c r="L92" s="17"/>
      <c r="M92" s="13" t="str">
        <f t="shared" si="1"/>
        <v>mobile</v>
      </c>
      <c r="N92" s="13" t="str">
        <f t="shared" si="2"/>
        <v>mobile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6" t="s">
        <v>38</v>
      </c>
      <c r="C93" s="7" t="s">
        <v>61</v>
      </c>
      <c r="D93" s="8" t="s">
        <v>545</v>
      </c>
      <c r="E93" s="9" t="s">
        <v>546</v>
      </c>
      <c r="F93" s="10" t="s">
        <v>547</v>
      </c>
      <c r="G93" s="10" t="s">
        <v>548</v>
      </c>
      <c r="H93" s="10" t="s">
        <v>66</v>
      </c>
      <c r="I93" s="11">
        <v>46096.0</v>
      </c>
      <c r="J93" s="11">
        <v>46098.0</v>
      </c>
      <c r="K93" s="10" t="s">
        <v>20</v>
      </c>
      <c r="L93" s="17"/>
      <c r="M93" s="13" t="str">
        <f t="shared" si="1"/>
        <v>mobile</v>
      </c>
      <c r="N93" s="13" t="str">
        <f t="shared" si="2"/>
        <v>mobile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6" t="s">
        <v>38</v>
      </c>
      <c r="C94" s="7" t="s">
        <v>61</v>
      </c>
      <c r="D94" s="14"/>
      <c r="E94" s="9" t="s">
        <v>546</v>
      </c>
      <c r="F94" s="10" t="s">
        <v>547</v>
      </c>
      <c r="G94" s="10" t="s">
        <v>549</v>
      </c>
      <c r="H94" s="10" t="s">
        <v>68</v>
      </c>
      <c r="I94" s="11">
        <v>46096.0</v>
      </c>
      <c r="J94" s="11">
        <v>46098.0</v>
      </c>
      <c r="K94" s="10" t="s">
        <v>20</v>
      </c>
      <c r="L94" s="17"/>
      <c r="M94" s="13" t="str">
        <f t="shared" si="1"/>
        <v>fissa </v>
      </c>
      <c r="N94" s="13" t="str">
        <f t="shared" si="2"/>
        <v>fissa 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6" t="s">
        <v>38</v>
      </c>
      <c r="C95" s="7" t="s">
        <v>39</v>
      </c>
      <c r="D95" s="8" t="s">
        <v>550</v>
      </c>
      <c r="E95" s="9" t="s">
        <v>551</v>
      </c>
      <c r="F95" s="10" t="s">
        <v>552</v>
      </c>
      <c r="G95" s="9" t="s">
        <v>553</v>
      </c>
      <c r="H95" s="10" t="s">
        <v>32</v>
      </c>
      <c r="I95" s="19">
        <v>46096.0</v>
      </c>
      <c r="J95" s="15">
        <v>46098.0</v>
      </c>
      <c r="K95" s="12" t="s">
        <v>20</v>
      </c>
      <c r="L95" s="17"/>
      <c r="M95" s="13" t="str">
        <f t="shared" si="1"/>
        <v>fissa </v>
      </c>
      <c r="N95" s="13" t="str">
        <f t="shared" si="2"/>
        <v>fissa 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6" t="s">
        <v>75</v>
      </c>
      <c r="C96" s="7" t="s">
        <v>76</v>
      </c>
      <c r="D96" s="8" t="s">
        <v>554</v>
      </c>
      <c r="E96" s="9" t="s">
        <v>555</v>
      </c>
      <c r="F96" s="10" t="s">
        <v>556</v>
      </c>
      <c r="G96" s="10" t="s">
        <v>557</v>
      </c>
      <c r="H96" s="10" t="s">
        <v>44</v>
      </c>
      <c r="I96" s="19">
        <v>46099.0</v>
      </c>
      <c r="J96" s="15">
        <v>46101.0</v>
      </c>
      <c r="K96" s="12" t="s">
        <v>20</v>
      </c>
      <c r="L96" s="17"/>
      <c r="M96" s="13" t="str">
        <f t="shared" si="1"/>
        <v>fissa </v>
      </c>
      <c r="N96" s="13" t="str">
        <f t="shared" si="2"/>
        <v>fissa 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6" t="s">
        <v>86</v>
      </c>
      <c r="C97" s="7" t="s">
        <v>87</v>
      </c>
      <c r="D97" s="8" t="s">
        <v>558</v>
      </c>
      <c r="E97" s="9" t="s">
        <v>559</v>
      </c>
      <c r="F97" s="10" t="s">
        <v>560</v>
      </c>
      <c r="G97" s="10" t="s">
        <v>561</v>
      </c>
      <c r="H97" s="10" t="s">
        <v>44</v>
      </c>
      <c r="I97" s="11">
        <v>46095.0</v>
      </c>
      <c r="J97" s="11">
        <v>46097.0</v>
      </c>
      <c r="K97" s="10" t="s">
        <v>20</v>
      </c>
      <c r="L97" s="17"/>
      <c r="M97" s="13" t="str">
        <f t="shared" si="1"/>
        <v>fissa </v>
      </c>
      <c r="N97" s="13" t="str">
        <f t="shared" si="2"/>
        <v>fissa 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6" t="s">
        <v>26</v>
      </c>
      <c r="C98" s="7" t="s">
        <v>27</v>
      </c>
      <c r="D98" s="14" t="s">
        <v>562</v>
      </c>
      <c r="E98" s="9" t="s">
        <v>563</v>
      </c>
      <c r="F98" s="10" t="s">
        <v>564</v>
      </c>
      <c r="G98" s="10" t="s">
        <v>565</v>
      </c>
      <c r="H98" s="10" t="s">
        <v>37</v>
      </c>
      <c r="I98" s="19">
        <v>46095.0</v>
      </c>
      <c r="J98" s="11">
        <v>46095.0</v>
      </c>
      <c r="K98" s="10" t="s">
        <v>20</v>
      </c>
      <c r="L98" s="17"/>
      <c r="M98" s="13" t="str">
        <f t="shared" si="1"/>
        <v>mobile</v>
      </c>
      <c r="N98" s="13" t="str">
        <f t="shared" si="2"/>
        <v>mobile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6" t="s">
        <v>26</v>
      </c>
      <c r="C99" s="7" t="s">
        <v>27</v>
      </c>
      <c r="D99" s="8"/>
      <c r="E99" s="9" t="s">
        <v>563</v>
      </c>
      <c r="F99" s="10" t="s">
        <v>564</v>
      </c>
      <c r="G99" s="10" t="s">
        <v>91</v>
      </c>
      <c r="H99" s="10" t="s">
        <v>54</v>
      </c>
      <c r="I99" s="11">
        <v>46095.0</v>
      </c>
      <c r="J99" s="11">
        <v>46105.0</v>
      </c>
      <c r="K99" s="10" t="s">
        <v>20</v>
      </c>
      <c r="L99" s="17"/>
      <c r="M99" s="13" t="str">
        <f t="shared" si="1"/>
        <v>easy r</v>
      </c>
      <c r="N99" s="13" t="str">
        <f t="shared" si="2"/>
        <v>easy r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6" t="s">
        <v>75</v>
      </c>
      <c r="C100" s="7" t="s">
        <v>76</v>
      </c>
      <c r="D100" s="14" t="s">
        <v>566</v>
      </c>
      <c r="E100" s="9" t="s">
        <v>567</v>
      </c>
      <c r="F100" s="10" t="s">
        <v>568</v>
      </c>
      <c r="G100" s="10" t="s">
        <v>569</v>
      </c>
      <c r="H100" s="10" t="s">
        <v>25</v>
      </c>
      <c r="I100" s="11">
        <v>46095.0</v>
      </c>
      <c r="J100" s="11">
        <v>46097.0</v>
      </c>
      <c r="K100" s="10" t="s">
        <v>20</v>
      </c>
      <c r="L100" s="17"/>
      <c r="M100" s="13" t="str">
        <f t="shared" si="1"/>
        <v>mobile</v>
      </c>
      <c r="N100" s="13" t="str">
        <f t="shared" si="2"/>
        <v>mobile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6" t="s">
        <v>38</v>
      </c>
      <c r="C101" s="7" t="s">
        <v>39</v>
      </c>
      <c r="D101" s="8" t="s">
        <v>570</v>
      </c>
      <c r="E101" s="9" t="s">
        <v>188</v>
      </c>
      <c r="F101" s="10" t="s">
        <v>189</v>
      </c>
      <c r="G101" s="10" t="s">
        <v>571</v>
      </c>
      <c r="H101" s="10" t="s">
        <v>25</v>
      </c>
      <c r="I101" s="11">
        <v>46096.0</v>
      </c>
      <c r="J101" s="11">
        <v>46096.0</v>
      </c>
      <c r="K101" s="10" t="s">
        <v>20</v>
      </c>
      <c r="L101" s="17"/>
      <c r="M101" s="13" t="str">
        <f t="shared" si="1"/>
        <v>mobile</v>
      </c>
      <c r="N101" s="13" t="str">
        <f t="shared" si="2"/>
        <v>mobile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6" t="s">
        <v>38</v>
      </c>
      <c r="C102" s="7" t="s">
        <v>39</v>
      </c>
      <c r="D102" s="14" t="s">
        <v>572</v>
      </c>
      <c r="E102" s="9" t="s">
        <v>551</v>
      </c>
      <c r="F102" s="10" t="s">
        <v>552</v>
      </c>
      <c r="G102" s="10" t="s">
        <v>573</v>
      </c>
      <c r="H102" s="10" t="s">
        <v>25</v>
      </c>
      <c r="I102" s="11">
        <v>46096.0</v>
      </c>
      <c r="J102" s="11">
        <v>46096.0</v>
      </c>
      <c r="K102" s="10" t="s">
        <v>20</v>
      </c>
      <c r="L102" s="17"/>
      <c r="M102" s="13" t="str">
        <f t="shared" si="1"/>
        <v>mobile</v>
      </c>
      <c r="N102" s="13" t="str">
        <f t="shared" si="2"/>
        <v>mobile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6" t="s">
        <v>38</v>
      </c>
      <c r="C103" s="7" t="s">
        <v>39</v>
      </c>
      <c r="D103" s="21"/>
      <c r="E103" s="9" t="s">
        <v>551</v>
      </c>
      <c r="F103" s="10" t="s">
        <v>552</v>
      </c>
      <c r="G103" s="10" t="s">
        <v>574</v>
      </c>
      <c r="H103" s="10" t="s">
        <v>25</v>
      </c>
      <c r="I103" s="11">
        <v>46096.0</v>
      </c>
      <c r="J103" s="11">
        <v>46096.0</v>
      </c>
      <c r="K103" s="10" t="s">
        <v>20</v>
      </c>
      <c r="L103" s="17"/>
      <c r="M103" s="13" t="str">
        <f t="shared" si="1"/>
        <v>mobile</v>
      </c>
      <c r="N103" s="13" t="str">
        <f t="shared" si="2"/>
        <v>mobile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6" t="s">
        <v>38</v>
      </c>
      <c r="C104" s="7" t="s">
        <v>39</v>
      </c>
      <c r="D104" s="14" t="s">
        <v>575</v>
      </c>
      <c r="E104" s="9" t="s">
        <v>326</v>
      </c>
      <c r="F104" s="10" t="s">
        <v>543</v>
      </c>
      <c r="G104" s="10" t="s">
        <v>91</v>
      </c>
      <c r="H104" s="10" t="s">
        <v>54</v>
      </c>
      <c r="I104" s="11">
        <v>46096.0</v>
      </c>
      <c r="J104" s="11">
        <v>46112.0</v>
      </c>
      <c r="K104" s="10" t="s">
        <v>20</v>
      </c>
      <c r="L104" s="17"/>
      <c r="M104" s="13" t="str">
        <f t="shared" si="1"/>
        <v>easy r</v>
      </c>
      <c r="N104" s="13" t="str">
        <f t="shared" si="2"/>
        <v>easy r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6" t="s">
        <v>86</v>
      </c>
      <c r="C105" s="7" t="s">
        <v>87</v>
      </c>
      <c r="D105" s="14" t="s">
        <v>576</v>
      </c>
      <c r="E105" s="9" t="s">
        <v>491</v>
      </c>
      <c r="F105" s="10" t="s">
        <v>492</v>
      </c>
      <c r="G105" s="10" t="s">
        <v>577</v>
      </c>
      <c r="H105" s="10" t="s">
        <v>37</v>
      </c>
      <c r="I105" s="11">
        <v>46095.0</v>
      </c>
      <c r="J105" s="11">
        <v>46097.0</v>
      </c>
      <c r="K105" s="10" t="s">
        <v>20</v>
      </c>
      <c r="L105" s="17"/>
      <c r="M105" s="13" t="str">
        <f t="shared" si="1"/>
        <v>mobile</v>
      </c>
      <c r="N105" s="13" t="str">
        <f t="shared" si="2"/>
        <v>mobile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6" t="s">
        <v>86</v>
      </c>
      <c r="C106" s="7" t="s">
        <v>87</v>
      </c>
      <c r="D106" s="14"/>
      <c r="E106" s="9" t="s">
        <v>491</v>
      </c>
      <c r="F106" s="10" t="s">
        <v>492</v>
      </c>
      <c r="G106" s="10" t="s">
        <v>578</v>
      </c>
      <c r="H106" s="10" t="s">
        <v>44</v>
      </c>
      <c r="I106" s="11">
        <v>46095.0</v>
      </c>
      <c r="J106" s="11">
        <v>46097.0</v>
      </c>
      <c r="K106" s="10" t="s">
        <v>20</v>
      </c>
      <c r="L106" s="17"/>
      <c r="M106" s="13" t="str">
        <f t="shared" si="1"/>
        <v>fissa </v>
      </c>
      <c r="N106" s="13" t="str">
        <f t="shared" si="2"/>
        <v>fissa 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6" t="s">
        <v>86</v>
      </c>
      <c r="C107" s="7" t="s">
        <v>87</v>
      </c>
      <c r="D107" s="18"/>
      <c r="E107" s="9" t="s">
        <v>491</v>
      </c>
      <c r="F107" s="10" t="s">
        <v>492</v>
      </c>
      <c r="G107" s="10" t="s">
        <v>60</v>
      </c>
      <c r="H107" s="10" t="s">
        <v>54</v>
      </c>
      <c r="I107" s="11">
        <v>46095.0</v>
      </c>
      <c r="J107" s="11">
        <v>46105.0</v>
      </c>
      <c r="K107" s="10" t="s">
        <v>20</v>
      </c>
      <c r="L107" s="17"/>
      <c r="M107" s="13" t="str">
        <f t="shared" si="1"/>
        <v>easy r</v>
      </c>
      <c r="N107" s="13" t="str">
        <f t="shared" si="2"/>
        <v>easy r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6" t="s">
        <v>86</v>
      </c>
      <c r="C108" s="7" t="s">
        <v>56</v>
      </c>
      <c r="D108" s="8" t="s">
        <v>579</v>
      </c>
      <c r="E108" s="9" t="s">
        <v>491</v>
      </c>
      <c r="F108" s="10" t="s">
        <v>492</v>
      </c>
      <c r="G108" s="10" t="s">
        <v>580</v>
      </c>
      <c r="H108" s="10" t="s">
        <v>66</v>
      </c>
      <c r="I108" s="11">
        <v>46095.0</v>
      </c>
      <c r="J108" s="11">
        <v>46097.0</v>
      </c>
      <c r="K108" s="10" t="s">
        <v>20</v>
      </c>
      <c r="L108" s="17"/>
      <c r="M108" s="13" t="str">
        <f t="shared" si="1"/>
        <v>mobile</v>
      </c>
      <c r="N108" s="13" t="str">
        <f t="shared" si="2"/>
        <v>mobile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6" t="s">
        <v>86</v>
      </c>
      <c r="C109" s="7" t="s">
        <v>56</v>
      </c>
      <c r="D109" s="14"/>
      <c r="E109" s="9" t="s">
        <v>491</v>
      </c>
      <c r="F109" s="10" t="s">
        <v>492</v>
      </c>
      <c r="G109" s="10" t="s">
        <v>581</v>
      </c>
      <c r="H109" s="10" t="s">
        <v>68</v>
      </c>
      <c r="I109" s="11">
        <v>46095.0</v>
      </c>
      <c r="J109" s="11">
        <v>46097.0</v>
      </c>
      <c r="K109" s="10" t="s">
        <v>20</v>
      </c>
      <c r="L109" s="17"/>
      <c r="M109" s="13" t="str">
        <f t="shared" si="1"/>
        <v>fissa </v>
      </c>
      <c r="N109" s="13" t="str">
        <f t="shared" si="2"/>
        <v>fissa 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6" t="s">
        <v>86</v>
      </c>
      <c r="C110" s="7" t="s">
        <v>56</v>
      </c>
      <c r="D110" s="18"/>
      <c r="E110" s="9" t="s">
        <v>491</v>
      </c>
      <c r="F110" s="10" t="s">
        <v>492</v>
      </c>
      <c r="G110" s="10" t="s">
        <v>60</v>
      </c>
      <c r="H110" s="10" t="s">
        <v>54</v>
      </c>
      <c r="I110" s="11">
        <v>46095.0</v>
      </c>
      <c r="J110" s="11">
        <v>46112.0</v>
      </c>
      <c r="K110" s="10" t="s">
        <v>20</v>
      </c>
      <c r="L110" s="17"/>
      <c r="M110" s="13" t="str">
        <f t="shared" si="1"/>
        <v>easy r</v>
      </c>
      <c r="N110" s="13" t="str">
        <f t="shared" si="2"/>
        <v>easy r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6" t="s">
        <v>127</v>
      </c>
      <c r="C111" s="7" t="s">
        <v>76</v>
      </c>
      <c r="D111" s="8" t="s">
        <v>582</v>
      </c>
      <c r="E111" s="9" t="s">
        <v>583</v>
      </c>
      <c r="F111" s="10" t="s">
        <v>584</v>
      </c>
      <c r="G111" s="10" t="s">
        <v>585</v>
      </c>
      <c r="H111" s="10" t="s">
        <v>537</v>
      </c>
      <c r="I111" s="11">
        <v>46096.0</v>
      </c>
      <c r="J111" s="11">
        <v>46096.0</v>
      </c>
      <c r="K111" s="10" t="s">
        <v>20</v>
      </c>
      <c r="L111" s="17"/>
      <c r="M111" s="13" t="str">
        <f t="shared" si="1"/>
        <v>fissa </v>
      </c>
      <c r="N111" s="13" t="str">
        <f t="shared" si="2"/>
        <v>fissa 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6" t="s">
        <v>86</v>
      </c>
      <c r="C112" s="7" t="s">
        <v>87</v>
      </c>
      <c r="D112" s="8" t="s">
        <v>586</v>
      </c>
      <c r="E112" s="9" t="s">
        <v>587</v>
      </c>
      <c r="F112" s="10" t="s">
        <v>588</v>
      </c>
      <c r="G112" s="10" t="s">
        <v>589</v>
      </c>
      <c r="H112" s="10" t="s">
        <v>44</v>
      </c>
      <c r="I112" s="11">
        <v>46097.0</v>
      </c>
      <c r="J112" s="11">
        <v>46098.0</v>
      </c>
      <c r="K112" s="10" t="s">
        <v>20</v>
      </c>
      <c r="L112" s="17"/>
      <c r="M112" s="13" t="str">
        <f t="shared" si="1"/>
        <v>fissa </v>
      </c>
      <c r="N112" s="13" t="str">
        <f t="shared" si="2"/>
        <v>fissa 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6" t="s">
        <v>38</v>
      </c>
      <c r="C113" s="7" t="s">
        <v>39</v>
      </c>
      <c r="D113" s="14" t="s">
        <v>590</v>
      </c>
      <c r="E113" s="9" t="s">
        <v>591</v>
      </c>
      <c r="F113" s="10" t="s">
        <v>592</v>
      </c>
      <c r="G113" s="10" t="s">
        <v>593</v>
      </c>
      <c r="H113" s="10" t="s">
        <v>66</v>
      </c>
      <c r="I113" s="45">
        <v>46098.0</v>
      </c>
      <c r="J113" s="11">
        <v>46099.0</v>
      </c>
      <c r="K113" s="10" t="s">
        <v>20</v>
      </c>
      <c r="L113" s="17"/>
      <c r="M113" s="13" t="str">
        <f t="shared" si="1"/>
        <v>mobile</v>
      </c>
      <c r="N113" s="13" t="str">
        <f t="shared" si="2"/>
        <v>mobile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6" t="s">
        <v>38</v>
      </c>
      <c r="C114" s="7" t="s">
        <v>39</v>
      </c>
      <c r="D114" s="14"/>
      <c r="E114" s="9" t="s">
        <v>591</v>
      </c>
      <c r="F114" s="10" t="s">
        <v>592</v>
      </c>
      <c r="G114" s="10" t="s">
        <v>594</v>
      </c>
      <c r="H114" s="10" t="s">
        <v>68</v>
      </c>
      <c r="I114" s="19">
        <v>46098.0</v>
      </c>
      <c r="J114" s="11">
        <v>46099.0</v>
      </c>
      <c r="K114" s="10" t="s">
        <v>20</v>
      </c>
      <c r="L114" s="17"/>
      <c r="M114" s="13" t="str">
        <f t="shared" si="1"/>
        <v>fissa </v>
      </c>
      <c r="N114" s="13" t="str">
        <f t="shared" si="2"/>
        <v>fissa 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6" t="s">
        <v>86</v>
      </c>
      <c r="C115" s="7" t="s">
        <v>87</v>
      </c>
      <c r="D115" s="8" t="s">
        <v>595</v>
      </c>
      <c r="E115" s="9" t="s">
        <v>596</v>
      </c>
      <c r="F115" s="10" t="s">
        <v>597</v>
      </c>
      <c r="G115" s="10" t="s">
        <v>598</v>
      </c>
      <c r="H115" s="10" t="s">
        <v>599</v>
      </c>
      <c r="I115" s="11">
        <v>46094.0</v>
      </c>
      <c r="J115" s="11">
        <v>46100.0</v>
      </c>
      <c r="K115" s="10" t="s">
        <v>20</v>
      </c>
      <c r="L115" s="17"/>
      <c r="M115" s="13" t="str">
        <f t="shared" si="1"/>
        <v>mobile</v>
      </c>
      <c r="N115" s="13" t="str">
        <f t="shared" si="2"/>
        <v>mobile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6" t="s">
        <v>38</v>
      </c>
      <c r="C116" s="7" t="s">
        <v>39</v>
      </c>
      <c r="D116" s="8" t="s">
        <v>600</v>
      </c>
      <c r="E116" s="9" t="s">
        <v>601</v>
      </c>
      <c r="F116" s="10" t="s">
        <v>602</v>
      </c>
      <c r="G116" s="10" t="s">
        <v>603</v>
      </c>
      <c r="H116" s="10" t="s">
        <v>66</v>
      </c>
      <c r="I116" s="19">
        <v>46099.0</v>
      </c>
      <c r="J116" s="11">
        <v>46100.0</v>
      </c>
      <c r="K116" s="10" t="s">
        <v>20</v>
      </c>
      <c r="L116" s="17"/>
      <c r="M116" s="13" t="str">
        <f t="shared" si="1"/>
        <v>mobile</v>
      </c>
      <c r="N116" s="13" t="str">
        <f t="shared" si="2"/>
        <v>mobile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6" t="s">
        <v>38</v>
      </c>
      <c r="C117" s="7" t="s">
        <v>39</v>
      </c>
      <c r="D117" s="18"/>
      <c r="E117" s="9" t="s">
        <v>601</v>
      </c>
      <c r="F117" s="10" t="s">
        <v>602</v>
      </c>
      <c r="G117" s="10" t="s">
        <v>604</v>
      </c>
      <c r="H117" s="10" t="s">
        <v>68</v>
      </c>
      <c r="I117" s="11">
        <v>46099.0</v>
      </c>
      <c r="J117" s="11">
        <v>46100.0</v>
      </c>
      <c r="K117" s="10" t="s">
        <v>20</v>
      </c>
      <c r="L117" s="17"/>
      <c r="M117" s="13" t="str">
        <f t="shared" si="1"/>
        <v>fissa </v>
      </c>
      <c r="N117" s="13" t="str">
        <f t="shared" si="2"/>
        <v>fissa 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6" t="s">
        <v>195</v>
      </c>
      <c r="C118" s="7" t="s">
        <v>61</v>
      </c>
      <c r="D118" s="8" t="s">
        <v>605</v>
      </c>
      <c r="E118" s="9" t="s">
        <v>606</v>
      </c>
      <c r="F118" s="10" t="s">
        <v>607</v>
      </c>
      <c r="G118" s="10" t="s">
        <v>608</v>
      </c>
      <c r="H118" s="10" t="s">
        <v>37</v>
      </c>
      <c r="I118" s="19">
        <v>46101.0</v>
      </c>
      <c r="J118" s="11">
        <v>46101.0</v>
      </c>
      <c r="K118" s="10" t="s">
        <v>20</v>
      </c>
      <c r="L118" s="17"/>
      <c r="M118" s="13" t="str">
        <f t="shared" si="1"/>
        <v>mobile</v>
      </c>
      <c r="N118" s="13" t="str">
        <f t="shared" si="2"/>
        <v>mobile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6" t="s">
        <v>75</v>
      </c>
      <c r="C119" s="7" t="s">
        <v>76</v>
      </c>
      <c r="D119" s="14" t="s">
        <v>609</v>
      </c>
      <c r="E119" s="9" t="s">
        <v>610</v>
      </c>
      <c r="F119" s="10" t="s">
        <v>611</v>
      </c>
      <c r="G119" s="10" t="s">
        <v>612</v>
      </c>
      <c r="H119" s="10" t="s">
        <v>66</v>
      </c>
      <c r="I119" s="11">
        <v>46100.0</v>
      </c>
      <c r="J119" s="11">
        <v>46105.0</v>
      </c>
      <c r="K119" s="10" t="s">
        <v>20</v>
      </c>
      <c r="L119" s="17"/>
      <c r="M119" s="13" t="str">
        <f t="shared" si="1"/>
        <v>mobile</v>
      </c>
      <c r="N119" s="13" t="str">
        <f t="shared" si="2"/>
        <v>mobile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6" t="s">
        <v>75</v>
      </c>
      <c r="C120" s="7" t="s">
        <v>76</v>
      </c>
      <c r="D120" s="21"/>
      <c r="E120" s="9" t="s">
        <v>610</v>
      </c>
      <c r="F120" s="10" t="s">
        <v>611</v>
      </c>
      <c r="G120" s="10" t="s">
        <v>613</v>
      </c>
      <c r="H120" s="10" t="s">
        <v>68</v>
      </c>
      <c r="I120" s="11">
        <v>46100.0</v>
      </c>
      <c r="J120" s="11">
        <v>46105.0</v>
      </c>
      <c r="K120" s="10" t="s">
        <v>20</v>
      </c>
      <c r="L120" s="17"/>
      <c r="M120" s="13" t="str">
        <f t="shared" si="1"/>
        <v>fissa </v>
      </c>
      <c r="N120" s="13" t="str">
        <f t="shared" si="2"/>
        <v>fissa 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6" t="s">
        <v>75</v>
      </c>
      <c r="C121" s="7" t="s">
        <v>76</v>
      </c>
      <c r="D121" s="14"/>
      <c r="E121" s="9" t="s">
        <v>610</v>
      </c>
      <c r="F121" s="10" t="s">
        <v>611</v>
      </c>
      <c r="G121" s="10" t="s">
        <v>614</v>
      </c>
      <c r="H121" s="10" t="s">
        <v>25</v>
      </c>
      <c r="I121" s="46">
        <v>46100.0</v>
      </c>
      <c r="J121" s="11">
        <v>46105.0</v>
      </c>
      <c r="K121" s="10" t="s">
        <v>20</v>
      </c>
      <c r="L121" s="17"/>
      <c r="M121" s="13" t="str">
        <f t="shared" si="1"/>
        <v>mobile</v>
      </c>
      <c r="N121" s="13" t="str">
        <f t="shared" si="2"/>
        <v>mobile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6" t="s">
        <v>38</v>
      </c>
      <c r="C122" s="7" t="s">
        <v>61</v>
      </c>
      <c r="D122" s="8" t="s">
        <v>615</v>
      </c>
      <c r="E122" s="9" t="s">
        <v>113</v>
      </c>
      <c r="F122" s="10" t="s">
        <v>114</v>
      </c>
      <c r="G122" s="10" t="s">
        <v>616</v>
      </c>
      <c r="H122" s="10" t="s">
        <v>37</v>
      </c>
      <c r="I122" s="19">
        <v>46101.0</v>
      </c>
      <c r="J122" s="11">
        <v>46101.0</v>
      </c>
      <c r="K122" s="10" t="s">
        <v>20</v>
      </c>
      <c r="L122" s="17"/>
      <c r="M122" s="13" t="str">
        <f t="shared" si="1"/>
        <v>mobile</v>
      </c>
      <c r="N122" s="13" t="str">
        <f t="shared" si="2"/>
        <v>mobile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6" t="s">
        <v>38</v>
      </c>
      <c r="C123" s="7" t="s">
        <v>61</v>
      </c>
      <c r="D123" s="8"/>
      <c r="E123" s="9" t="s">
        <v>113</v>
      </c>
      <c r="F123" s="10" t="s">
        <v>114</v>
      </c>
      <c r="G123" s="10" t="s">
        <v>617</v>
      </c>
      <c r="H123" s="10" t="s">
        <v>37</v>
      </c>
      <c r="I123" s="11">
        <v>46101.0</v>
      </c>
      <c r="J123" s="11">
        <v>46101.0</v>
      </c>
      <c r="K123" s="10" t="s">
        <v>20</v>
      </c>
      <c r="L123" s="17"/>
      <c r="M123" s="13" t="str">
        <f t="shared" si="1"/>
        <v>mobile</v>
      </c>
      <c r="N123" s="13" t="str">
        <f t="shared" si="2"/>
        <v>mobile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6" t="s">
        <v>13</v>
      </c>
      <c r="C124" s="7" t="s">
        <v>142</v>
      </c>
      <c r="D124" s="8" t="s">
        <v>618</v>
      </c>
      <c r="E124" s="9" t="s">
        <v>619</v>
      </c>
      <c r="F124" s="10" t="s">
        <v>620</v>
      </c>
      <c r="G124" s="10" t="s">
        <v>621</v>
      </c>
      <c r="H124" s="10" t="s">
        <v>25</v>
      </c>
      <c r="I124" s="11">
        <v>46101.0</v>
      </c>
      <c r="J124" s="11">
        <v>46101.0</v>
      </c>
      <c r="K124" s="10" t="s">
        <v>20</v>
      </c>
      <c r="L124" s="17"/>
      <c r="M124" s="13" t="str">
        <f t="shared" si="1"/>
        <v>mobile</v>
      </c>
      <c r="N124" s="13" t="str">
        <f t="shared" si="2"/>
        <v>mobile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6" t="s">
        <v>13</v>
      </c>
      <c r="C125" s="7" t="s">
        <v>142</v>
      </c>
      <c r="D125" s="14"/>
      <c r="E125" s="9" t="s">
        <v>619</v>
      </c>
      <c r="F125" s="10" t="s">
        <v>620</v>
      </c>
      <c r="G125" s="10" t="s">
        <v>622</v>
      </c>
      <c r="H125" s="10" t="s">
        <v>25</v>
      </c>
      <c r="I125" s="11">
        <v>46101.0</v>
      </c>
      <c r="J125" s="11">
        <v>46101.0</v>
      </c>
      <c r="K125" s="10" t="s">
        <v>20</v>
      </c>
      <c r="L125" s="17"/>
      <c r="M125" s="13" t="str">
        <f t="shared" si="1"/>
        <v>mobile</v>
      </c>
      <c r="N125" s="13" t="str">
        <f t="shared" si="2"/>
        <v>mobile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6" t="s">
        <v>13</v>
      </c>
      <c r="C126" s="7" t="s">
        <v>142</v>
      </c>
      <c r="D126" s="8" t="s">
        <v>623</v>
      </c>
      <c r="E126" s="9" t="s">
        <v>624</v>
      </c>
      <c r="F126" s="10" t="s">
        <v>625</v>
      </c>
      <c r="G126" s="10" t="s">
        <v>626</v>
      </c>
      <c r="H126" s="10" t="s">
        <v>25</v>
      </c>
      <c r="I126" s="11">
        <v>46099.0</v>
      </c>
      <c r="J126" s="11">
        <v>46099.0</v>
      </c>
      <c r="K126" s="10" t="s">
        <v>20</v>
      </c>
      <c r="L126" s="17"/>
      <c r="M126" s="13" t="str">
        <f t="shared" si="1"/>
        <v>mobile</v>
      </c>
      <c r="N126" s="13" t="str">
        <f t="shared" si="2"/>
        <v>mobile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6" t="s">
        <v>13</v>
      </c>
      <c r="C127" s="7" t="s">
        <v>142</v>
      </c>
      <c r="D127" s="14" t="s">
        <v>627</v>
      </c>
      <c r="E127" s="9" t="s">
        <v>628</v>
      </c>
      <c r="F127" s="10" t="s">
        <v>629</v>
      </c>
      <c r="G127" s="10" t="s">
        <v>630</v>
      </c>
      <c r="H127" s="10" t="s">
        <v>44</v>
      </c>
      <c r="I127" s="11">
        <v>46101.0</v>
      </c>
      <c r="J127" s="11">
        <v>46102.0</v>
      </c>
      <c r="K127" s="10" t="s">
        <v>20</v>
      </c>
      <c r="L127" s="17"/>
      <c r="M127" s="13" t="str">
        <f t="shared" si="1"/>
        <v>fissa </v>
      </c>
      <c r="N127" s="13" t="str">
        <f t="shared" si="2"/>
        <v>fissa 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6" t="s">
        <v>201</v>
      </c>
      <c r="C128" s="7" t="s">
        <v>128</v>
      </c>
      <c r="D128" s="14" t="s">
        <v>631</v>
      </c>
      <c r="E128" s="9" t="s">
        <v>632</v>
      </c>
      <c r="F128" s="10" t="s">
        <v>633</v>
      </c>
      <c r="G128" s="10" t="s">
        <v>634</v>
      </c>
      <c r="H128" s="10" t="s">
        <v>37</v>
      </c>
      <c r="I128" s="11">
        <v>46102.0</v>
      </c>
      <c r="J128" s="11">
        <v>46102.0</v>
      </c>
      <c r="K128" s="10" t="s">
        <v>20</v>
      </c>
      <c r="L128" s="17"/>
      <c r="M128" s="13" t="str">
        <f t="shared" si="1"/>
        <v>mobile</v>
      </c>
      <c r="N128" s="13" t="str">
        <f t="shared" si="2"/>
        <v>mobile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6" t="s">
        <v>75</v>
      </c>
      <c r="C129" s="7" t="s">
        <v>76</v>
      </c>
      <c r="D129" s="14" t="s">
        <v>635</v>
      </c>
      <c r="E129" s="9" t="s">
        <v>636</v>
      </c>
      <c r="F129" s="10" t="s">
        <v>637</v>
      </c>
      <c r="G129" s="10" t="s">
        <v>638</v>
      </c>
      <c r="H129" s="10" t="s">
        <v>25</v>
      </c>
      <c r="I129" s="11">
        <v>46101.0</v>
      </c>
      <c r="J129" s="11">
        <v>46101.0</v>
      </c>
      <c r="K129" s="10" t="s">
        <v>20</v>
      </c>
      <c r="L129" s="17"/>
      <c r="M129" s="13" t="str">
        <f t="shared" si="1"/>
        <v>mobile</v>
      </c>
      <c r="N129" s="13" t="str">
        <f t="shared" si="2"/>
        <v>mobile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6" t="s">
        <v>75</v>
      </c>
      <c r="C130" s="7" t="s">
        <v>76</v>
      </c>
      <c r="D130" s="8"/>
      <c r="E130" s="9" t="s">
        <v>636</v>
      </c>
      <c r="F130" s="10" t="s">
        <v>637</v>
      </c>
      <c r="G130" s="10" t="s">
        <v>639</v>
      </c>
      <c r="H130" s="10" t="s">
        <v>25</v>
      </c>
      <c r="I130" s="11">
        <v>46101.0</v>
      </c>
      <c r="J130" s="11">
        <v>46101.0</v>
      </c>
      <c r="K130" s="10" t="s">
        <v>20</v>
      </c>
      <c r="L130" s="17"/>
      <c r="M130" s="13" t="str">
        <f t="shared" si="1"/>
        <v>mobile</v>
      </c>
      <c r="N130" s="13" t="str">
        <f t="shared" si="2"/>
        <v>mobile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6" t="s">
        <v>26</v>
      </c>
      <c r="C131" s="7" t="s">
        <v>27</v>
      </c>
      <c r="D131" s="14" t="s">
        <v>640</v>
      </c>
      <c r="E131" s="9" t="s">
        <v>519</v>
      </c>
      <c r="F131" s="10" t="s">
        <v>520</v>
      </c>
      <c r="G131" s="10" t="s">
        <v>641</v>
      </c>
      <c r="H131" s="10" t="s">
        <v>19</v>
      </c>
      <c r="I131" s="11">
        <v>46101.0</v>
      </c>
      <c r="J131" s="11">
        <v>46102.0</v>
      </c>
      <c r="K131" s="10" t="s">
        <v>20</v>
      </c>
      <c r="L131" s="17"/>
      <c r="M131" s="13" t="str">
        <f t="shared" si="1"/>
        <v>fissa </v>
      </c>
      <c r="N131" s="13" t="str">
        <f t="shared" si="2"/>
        <v>fissa 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6" t="s">
        <v>38</v>
      </c>
      <c r="C132" s="7" t="s">
        <v>39</v>
      </c>
      <c r="D132" s="14" t="s">
        <v>642</v>
      </c>
      <c r="E132" s="9" t="s">
        <v>643</v>
      </c>
      <c r="F132" s="10" t="s">
        <v>644</v>
      </c>
      <c r="G132" s="10" t="s">
        <v>645</v>
      </c>
      <c r="H132" s="10" t="s">
        <v>66</v>
      </c>
      <c r="I132" s="11">
        <v>46103.0</v>
      </c>
      <c r="J132" s="11">
        <v>46104.0</v>
      </c>
      <c r="K132" s="10" t="s">
        <v>20</v>
      </c>
      <c r="L132" s="17"/>
      <c r="M132" s="13" t="str">
        <f t="shared" si="1"/>
        <v>mobile</v>
      </c>
      <c r="N132" s="13" t="str">
        <f t="shared" si="2"/>
        <v>mobile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6" t="s">
        <v>38</v>
      </c>
      <c r="C133" s="7" t="s">
        <v>39</v>
      </c>
      <c r="D133" s="18"/>
      <c r="E133" s="9" t="s">
        <v>643</v>
      </c>
      <c r="F133" s="10" t="s">
        <v>644</v>
      </c>
      <c r="G133" s="10" t="s">
        <v>646</v>
      </c>
      <c r="H133" s="10" t="s">
        <v>68</v>
      </c>
      <c r="I133" s="11">
        <v>46103.0</v>
      </c>
      <c r="J133" s="11">
        <v>46104.0</v>
      </c>
      <c r="K133" s="10" t="s">
        <v>20</v>
      </c>
      <c r="L133" s="17"/>
      <c r="M133" s="13" t="str">
        <f t="shared" si="1"/>
        <v>fissa </v>
      </c>
      <c r="N133" s="13" t="str">
        <f t="shared" si="2"/>
        <v>fissa 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6" t="s">
        <v>13</v>
      </c>
      <c r="C134" s="7" t="s">
        <v>14</v>
      </c>
      <c r="D134" s="14" t="s">
        <v>647</v>
      </c>
      <c r="E134" s="9" t="s">
        <v>648</v>
      </c>
      <c r="F134" s="10" t="s">
        <v>649</v>
      </c>
      <c r="G134" s="10" t="s">
        <v>650</v>
      </c>
      <c r="H134" s="10" t="s">
        <v>32</v>
      </c>
      <c r="I134" s="11">
        <v>46102.0</v>
      </c>
      <c r="J134" s="11">
        <v>46104.0</v>
      </c>
      <c r="K134" s="10" t="s">
        <v>20</v>
      </c>
      <c r="L134" s="17"/>
      <c r="M134" s="13" t="str">
        <f t="shared" si="1"/>
        <v>fissa </v>
      </c>
      <c r="N134" s="13" t="str">
        <f t="shared" si="2"/>
        <v>fissa 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6" t="s">
        <v>201</v>
      </c>
      <c r="C135" s="7" t="s">
        <v>128</v>
      </c>
      <c r="D135" s="8" t="s">
        <v>651</v>
      </c>
      <c r="E135" s="9" t="s">
        <v>652</v>
      </c>
      <c r="F135" s="10" t="s">
        <v>653</v>
      </c>
      <c r="G135" s="10" t="s">
        <v>654</v>
      </c>
      <c r="H135" s="10" t="s">
        <v>44</v>
      </c>
      <c r="I135" s="19">
        <v>46103.0</v>
      </c>
      <c r="J135" s="15">
        <v>46105.0</v>
      </c>
      <c r="K135" s="12" t="s">
        <v>20</v>
      </c>
      <c r="L135" s="17"/>
      <c r="M135" s="13" t="str">
        <f t="shared" si="1"/>
        <v>fissa </v>
      </c>
      <c r="N135" s="13" t="str">
        <f t="shared" si="2"/>
        <v>fissa 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6" t="s">
        <v>26</v>
      </c>
      <c r="C136" s="7" t="s">
        <v>27</v>
      </c>
      <c r="D136" s="8" t="s">
        <v>655</v>
      </c>
      <c r="E136" s="9" t="s">
        <v>656</v>
      </c>
      <c r="F136" s="10" t="s">
        <v>657</v>
      </c>
      <c r="G136" s="10" t="s">
        <v>658</v>
      </c>
      <c r="H136" s="10" t="s">
        <v>25</v>
      </c>
      <c r="I136" s="19">
        <v>46102.0</v>
      </c>
      <c r="J136" s="11">
        <v>46104.0</v>
      </c>
      <c r="K136" s="10" t="s">
        <v>20</v>
      </c>
      <c r="L136" s="17"/>
      <c r="M136" s="13" t="str">
        <f t="shared" si="1"/>
        <v>mobile</v>
      </c>
      <c r="N136" s="13" t="str">
        <f t="shared" si="2"/>
        <v>mobile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6" t="s">
        <v>26</v>
      </c>
      <c r="C137" s="7" t="s">
        <v>27</v>
      </c>
      <c r="D137" s="8"/>
      <c r="E137" s="9" t="s">
        <v>656</v>
      </c>
      <c r="F137" s="10" t="s">
        <v>657</v>
      </c>
      <c r="G137" s="10" t="s">
        <v>659</v>
      </c>
      <c r="H137" s="10" t="s">
        <v>25</v>
      </c>
      <c r="I137" s="11">
        <v>46102.0</v>
      </c>
      <c r="J137" s="11">
        <v>46104.0</v>
      </c>
      <c r="K137" s="10" t="s">
        <v>20</v>
      </c>
      <c r="L137" s="17"/>
      <c r="M137" s="13" t="str">
        <f t="shared" si="1"/>
        <v>mobile</v>
      </c>
      <c r="N137" s="13" t="str">
        <f t="shared" si="2"/>
        <v>mobile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6" t="s">
        <v>26</v>
      </c>
      <c r="C138" s="7" t="s">
        <v>27</v>
      </c>
      <c r="D138" s="14"/>
      <c r="E138" s="9" t="s">
        <v>656</v>
      </c>
      <c r="F138" s="10" t="s">
        <v>657</v>
      </c>
      <c r="G138" s="10" t="s">
        <v>660</v>
      </c>
      <c r="H138" s="10" t="s">
        <v>54</v>
      </c>
      <c r="I138" s="11">
        <v>46102.0</v>
      </c>
      <c r="J138" s="11">
        <v>46111.0</v>
      </c>
      <c r="K138" s="10" t="s">
        <v>20</v>
      </c>
      <c r="L138" s="17"/>
      <c r="M138" s="13" t="str">
        <f t="shared" si="1"/>
        <v>easy r</v>
      </c>
      <c r="N138" s="13" t="str">
        <f t="shared" si="2"/>
        <v>easy r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6" t="s">
        <v>26</v>
      </c>
      <c r="C139" s="7" t="s">
        <v>27</v>
      </c>
      <c r="D139" s="18"/>
      <c r="E139" s="9" t="s">
        <v>656</v>
      </c>
      <c r="F139" s="10" t="s">
        <v>657</v>
      </c>
      <c r="G139" s="10" t="s">
        <v>661</v>
      </c>
      <c r="H139" s="10" t="s">
        <v>54</v>
      </c>
      <c r="I139" s="11">
        <v>46102.0</v>
      </c>
      <c r="J139" s="11">
        <v>46111.0</v>
      </c>
      <c r="K139" s="10" t="s">
        <v>20</v>
      </c>
      <c r="L139" s="17"/>
      <c r="M139" s="13" t="str">
        <f t="shared" si="1"/>
        <v>easy r</v>
      </c>
      <c r="N139" s="13" t="str">
        <f t="shared" si="2"/>
        <v>easy r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6" t="s">
        <v>55</v>
      </c>
      <c r="C140" s="7" t="s">
        <v>56</v>
      </c>
      <c r="D140" s="8" t="s">
        <v>662</v>
      </c>
      <c r="E140" s="9" t="s">
        <v>663</v>
      </c>
      <c r="F140" s="10" t="s">
        <v>664</v>
      </c>
      <c r="G140" s="10" t="s">
        <v>665</v>
      </c>
      <c r="H140" s="10" t="s">
        <v>37</v>
      </c>
      <c r="I140" s="19">
        <v>46104.0</v>
      </c>
      <c r="J140" s="11">
        <v>46104.0</v>
      </c>
      <c r="K140" s="10" t="s">
        <v>20</v>
      </c>
      <c r="L140" s="17"/>
      <c r="M140" s="13" t="str">
        <f t="shared" si="1"/>
        <v>mobile</v>
      </c>
      <c r="N140" s="13" t="str">
        <f t="shared" si="2"/>
        <v>mobile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6" t="s">
        <v>55</v>
      </c>
      <c r="C141" s="7" t="s">
        <v>56</v>
      </c>
      <c r="D141" s="8"/>
      <c r="E141" s="9" t="s">
        <v>663</v>
      </c>
      <c r="F141" s="10" t="s">
        <v>664</v>
      </c>
      <c r="G141" s="10" t="s">
        <v>666</v>
      </c>
      <c r="H141" s="10" t="s">
        <v>37</v>
      </c>
      <c r="I141" s="11">
        <v>46104.0</v>
      </c>
      <c r="J141" s="11">
        <v>46104.0</v>
      </c>
      <c r="K141" s="10" t="s">
        <v>20</v>
      </c>
      <c r="L141" s="17"/>
      <c r="M141" s="13" t="str">
        <f t="shared" si="1"/>
        <v>mobile</v>
      </c>
      <c r="N141" s="13" t="str">
        <f t="shared" si="2"/>
        <v>mobile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6" t="s">
        <v>55</v>
      </c>
      <c r="C142" s="7" t="s">
        <v>56</v>
      </c>
      <c r="D142" s="14"/>
      <c r="E142" s="9" t="s">
        <v>663</v>
      </c>
      <c r="F142" s="10" t="s">
        <v>664</v>
      </c>
      <c r="G142" s="10" t="s">
        <v>667</v>
      </c>
      <c r="H142" s="10" t="s">
        <v>37</v>
      </c>
      <c r="I142" s="11">
        <v>46104.0</v>
      </c>
      <c r="J142" s="11">
        <v>46104.0</v>
      </c>
      <c r="K142" s="10" t="s">
        <v>20</v>
      </c>
      <c r="L142" s="17"/>
      <c r="M142" s="13" t="str">
        <f t="shared" si="1"/>
        <v>mobile</v>
      </c>
      <c r="N142" s="13" t="str">
        <f t="shared" si="2"/>
        <v>mobile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6" t="s">
        <v>55</v>
      </c>
      <c r="C143" s="7" t="s">
        <v>56</v>
      </c>
      <c r="D143" s="8"/>
      <c r="E143" s="9" t="s">
        <v>663</v>
      </c>
      <c r="F143" s="10" t="s">
        <v>664</v>
      </c>
      <c r="G143" s="10" t="s">
        <v>668</v>
      </c>
      <c r="H143" s="10" t="s">
        <v>37</v>
      </c>
      <c r="I143" s="11">
        <v>46104.0</v>
      </c>
      <c r="J143" s="11">
        <v>46104.0</v>
      </c>
      <c r="K143" s="10" t="s">
        <v>20</v>
      </c>
      <c r="L143" s="17"/>
      <c r="M143" s="13" t="str">
        <f t="shared" si="1"/>
        <v>mobile</v>
      </c>
      <c r="N143" s="13" t="str">
        <f t="shared" si="2"/>
        <v>mobile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6" t="s">
        <v>55</v>
      </c>
      <c r="C144" s="7" t="s">
        <v>56</v>
      </c>
      <c r="D144" s="18"/>
      <c r="E144" s="9" t="s">
        <v>663</v>
      </c>
      <c r="F144" s="10" t="s">
        <v>664</v>
      </c>
      <c r="G144" s="10" t="s">
        <v>669</v>
      </c>
      <c r="H144" s="10" t="s">
        <v>37</v>
      </c>
      <c r="I144" s="11">
        <v>46104.0</v>
      </c>
      <c r="J144" s="11">
        <v>46104.0</v>
      </c>
      <c r="K144" s="10" t="s">
        <v>20</v>
      </c>
      <c r="L144" s="17"/>
      <c r="M144" s="13" t="str">
        <f t="shared" si="1"/>
        <v>mobile</v>
      </c>
      <c r="N144" s="13" t="str">
        <f t="shared" si="2"/>
        <v>mobile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6" t="s">
        <v>38</v>
      </c>
      <c r="C145" s="30" t="s">
        <v>39</v>
      </c>
      <c r="D145" s="8" t="s">
        <v>670</v>
      </c>
      <c r="E145" s="9" t="s">
        <v>671</v>
      </c>
      <c r="F145" s="10" t="s">
        <v>672</v>
      </c>
      <c r="G145" s="10" t="s">
        <v>673</v>
      </c>
      <c r="H145" s="10" t="s">
        <v>25</v>
      </c>
      <c r="I145" s="11">
        <v>46104.0</v>
      </c>
      <c r="J145" s="11">
        <v>46104.0</v>
      </c>
      <c r="K145" s="10" t="s">
        <v>20</v>
      </c>
      <c r="L145" s="17"/>
      <c r="M145" s="13" t="str">
        <f t="shared" si="1"/>
        <v>mobile</v>
      </c>
      <c r="N145" s="13" t="str">
        <f t="shared" si="2"/>
        <v>mobile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47" t="s">
        <v>127</v>
      </c>
      <c r="C146" s="48" t="s">
        <v>443</v>
      </c>
      <c r="D146" s="49" t="s">
        <v>674</v>
      </c>
      <c r="E146" s="50" t="s">
        <v>675</v>
      </c>
      <c r="F146" s="51" t="s">
        <v>676</v>
      </c>
      <c r="G146" s="51" t="s">
        <v>677</v>
      </c>
      <c r="H146" s="51" t="s">
        <v>37</v>
      </c>
      <c r="I146" s="52">
        <v>46110.0</v>
      </c>
      <c r="J146" s="52">
        <v>46112.0</v>
      </c>
      <c r="K146" s="10" t="s">
        <v>20</v>
      </c>
      <c r="L146" s="17"/>
      <c r="M146" s="13" t="str">
        <f t="shared" si="1"/>
        <v>mobile</v>
      </c>
      <c r="N146" s="13" t="str">
        <f t="shared" si="2"/>
        <v>mobile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47" t="s">
        <v>127</v>
      </c>
      <c r="C147" s="48" t="s">
        <v>443</v>
      </c>
      <c r="D147" s="53"/>
      <c r="E147" s="50" t="s">
        <v>675</v>
      </c>
      <c r="F147" s="51" t="s">
        <v>676</v>
      </c>
      <c r="G147" s="51" t="s">
        <v>678</v>
      </c>
      <c r="H147" s="51" t="s">
        <v>37</v>
      </c>
      <c r="I147" s="54">
        <v>46110.0</v>
      </c>
      <c r="J147" s="52">
        <v>46112.0</v>
      </c>
      <c r="K147" s="10" t="s">
        <v>20</v>
      </c>
      <c r="L147" s="17"/>
      <c r="M147" s="13" t="str">
        <f t="shared" si="1"/>
        <v>mobile</v>
      </c>
      <c r="N147" s="13" t="str">
        <f t="shared" si="2"/>
        <v>mobile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47" t="s">
        <v>127</v>
      </c>
      <c r="C148" s="48" t="s">
        <v>443</v>
      </c>
      <c r="D148" s="49"/>
      <c r="E148" s="50" t="s">
        <v>675</v>
      </c>
      <c r="F148" s="51" t="s">
        <v>676</v>
      </c>
      <c r="G148" s="51" t="s">
        <v>679</v>
      </c>
      <c r="H148" s="51" t="s">
        <v>37</v>
      </c>
      <c r="I148" s="52">
        <v>46110.0</v>
      </c>
      <c r="J148" s="52">
        <v>46112.0</v>
      </c>
      <c r="K148" s="10" t="s">
        <v>20</v>
      </c>
      <c r="L148" s="17"/>
      <c r="M148" s="13" t="str">
        <f t="shared" si="1"/>
        <v>mobile</v>
      </c>
      <c r="N148" s="13" t="str">
        <f t="shared" si="2"/>
        <v>mobile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6" t="s">
        <v>55</v>
      </c>
      <c r="C149" s="7" t="s">
        <v>56</v>
      </c>
      <c r="D149" s="8" t="s">
        <v>680</v>
      </c>
      <c r="E149" s="9" t="s">
        <v>163</v>
      </c>
      <c r="F149" s="10" t="s">
        <v>681</v>
      </c>
      <c r="G149" s="10" t="s">
        <v>682</v>
      </c>
      <c r="H149" s="10" t="s">
        <v>37</v>
      </c>
      <c r="I149" s="11">
        <v>46105.0</v>
      </c>
      <c r="J149" s="11">
        <v>46105.0</v>
      </c>
      <c r="K149" s="10" t="s">
        <v>20</v>
      </c>
      <c r="L149" s="17"/>
      <c r="M149" s="13" t="str">
        <f t="shared" si="1"/>
        <v>mobile</v>
      </c>
      <c r="N149" s="13" t="str">
        <f t="shared" si="2"/>
        <v>mobile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6" t="s">
        <v>45</v>
      </c>
      <c r="C150" s="7" t="s">
        <v>46</v>
      </c>
      <c r="D150" s="14" t="s">
        <v>683</v>
      </c>
      <c r="E150" s="9" t="s">
        <v>684</v>
      </c>
      <c r="F150" s="10" t="s">
        <v>685</v>
      </c>
      <c r="G150" s="10" t="s">
        <v>686</v>
      </c>
      <c r="H150" s="10" t="s">
        <v>66</v>
      </c>
      <c r="I150" s="11">
        <v>46104.0</v>
      </c>
      <c r="J150" s="11">
        <v>46105.0</v>
      </c>
      <c r="K150" s="10" t="s">
        <v>20</v>
      </c>
      <c r="L150" s="17"/>
      <c r="M150" s="13" t="str">
        <f t="shared" si="1"/>
        <v>mobile</v>
      </c>
      <c r="N150" s="13" t="str">
        <f t="shared" si="2"/>
        <v>mobile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0" t="s">
        <v>45</v>
      </c>
      <c r="C151" s="31" t="s">
        <v>46</v>
      </c>
      <c r="D151" s="8"/>
      <c r="E151" s="9" t="s">
        <v>684</v>
      </c>
      <c r="F151" s="10" t="s">
        <v>685</v>
      </c>
      <c r="G151" s="10" t="s">
        <v>687</v>
      </c>
      <c r="H151" s="10" t="s">
        <v>68</v>
      </c>
      <c r="I151" s="19">
        <v>46104.0</v>
      </c>
      <c r="J151" s="11">
        <v>46105.0</v>
      </c>
      <c r="K151" s="10" t="s">
        <v>20</v>
      </c>
      <c r="L151" s="17"/>
      <c r="M151" s="13" t="str">
        <f t="shared" si="1"/>
        <v>fissa </v>
      </c>
      <c r="N151" s="13" t="str">
        <f t="shared" si="2"/>
        <v>fissa 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0" t="s">
        <v>45</v>
      </c>
      <c r="C152" s="31" t="s">
        <v>46</v>
      </c>
      <c r="D152" s="14" t="s">
        <v>688</v>
      </c>
      <c r="E152" s="9" t="s">
        <v>684</v>
      </c>
      <c r="F152" s="10" t="s">
        <v>685</v>
      </c>
      <c r="G152" s="10" t="s">
        <v>689</v>
      </c>
      <c r="H152" s="10" t="s">
        <v>44</v>
      </c>
      <c r="I152" s="11">
        <v>46104.0</v>
      </c>
      <c r="J152" s="11">
        <v>46107.0</v>
      </c>
      <c r="K152" s="10" t="s">
        <v>20</v>
      </c>
      <c r="L152" s="17"/>
      <c r="M152" s="13" t="str">
        <f t="shared" si="1"/>
        <v>fissa </v>
      </c>
      <c r="N152" s="13" t="str">
        <f t="shared" si="2"/>
        <v>fissa 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2" t="s">
        <v>116</v>
      </c>
      <c r="C153" s="30" t="s">
        <v>117</v>
      </c>
      <c r="D153" s="8" t="s">
        <v>690</v>
      </c>
      <c r="E153" s="9" t="s">
        <v>691</v>
      </c>
      <c r="F153" s="10" t="s">
        <v>692</v>
      </c>
      <c r="G153" s="10" t="s">
        <v>693</v>
      </c>
      <c r="H153" s="10" t="s">
        <v>37</v>
      </c>
      <c r="I153" s="11">
        <v>46106.0</v>
      </c>
      <c r="J153" s="11">
        <v>46106.0</v>
      </c>
      <c r="K153" s="12" t="s">
        <v>20</v>
      </c>
      <c r="L153" s="17"/>
      <c r="M153" s="13" t="str">
        <f t="shared" si="1"/>
        <v>mobile</v>
      </c>
      <c r="N153" s="13" t="str">
        <f t="shared" si="2"/>
        <v>mobile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2" t="s">
        <v>116</v>
      </c>
      <c r="C154" s="30" t="s">
        <v>117</v>
      </c>
      <c r="D154" s="8"/>
      <c r="E154" s="9" t="s">
        <v>691</v>
      </c>
      <c r="F154" s="10" t="s">
        <v>692</v>
      </c>
      <c r="G154" s="10" t="s">
        <v>694</v>
      </c>
      <c r="H154" s="10" t="s">
        <v>37</v>
      </c>
      <c r="I154" s="11">
        <v>46106.0</v>
      </c>
      <c r="J154" s="15">
        <v>46106.0</v>
      </c>
      <c r="K154" s="12" t="s">
        <v>20</v>
      </c>
      <c r="L154" s="17"/>
      <c r="M154" s="13" t="str">
        <f t="shared" si="1"/>
        <v>mobile</v>
      </c>
      <c r="N154" s="13" t="str">
        <f t="shared" si="2"/>
        <v>mobile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2" t="s">
        <v>38</v>
      </c>
      <c r="C155" s="30" t="s">
        <v>39</v>
      </c>
      <c r="D155" s="8" t="s">
        <v>695</v>
      </c>
      <c r="E155" s="9" t="s">
        <v>696</v>
      </c>
      <c r="F155" s="10" t="s">
        <v>697</v>
      </c>
      <c r="G155" s="10" t="s">
        <v>698</v>
      </c>
      <c r="H155" s="10" t="s">
        <v>66</v>
      </c>
      <c r="I155" s="11">
        <v>46106.0</v>
      </c>
      <c r="J155" s="11">
        <v>46108.0</v>
      </c>
      <c r="K155" s="12" t="s">
        <v>20</v>
      </c>
      <c r="L155" s="17"/>
      <c r="M155" s="13" t="str">
        <f t="shared" si="1"/>
        <v>mobile</v>
      </c>
      <c r="N155" s="13" t="str">
        <f t="shared" si="2"/>
        <v>mobile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0" t="s">
        <v>38</v>
      </c>
      <c r="C156" s="31" t="s">
        <v>39</v>
      </c>
      <c r="D156" s="8"/>
      <c r="E156" s="9" t="s">
        <v>696</v>
      </c>
      <c r="F156" s="10" t="s">
        <v>697</v>
      </c>
      <c r="G156" s="10" t="s">
        <v>699</v>
      </c>
      <c r="H156" s="10" t="s">
        <v>68</v>
      </c>
      <c r="I156" s="11">
        <v>46106.0</v>
      </c>
      <c r="J156" s="11">
        <v>46108.0</v>
      </c>
      <c r="K156" s="10" t="s">
        <v>20</v>
      </c>
      <c r="L156" s="17"/>
      <c r="M156" s="13" t="str">
        <f t="shared" si="1"/>
        <v>fissa </v>
      </c>
      <c r="N156" s="13" t="str">
        <f t="shared" si="2"/>
        <v>fissa 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0" t="s">
        <v>38</v>
      </c>
      <c r="C157" s="31" t="s">
        <v>39</v>
      </c>
      <c r="D157" s="14"/>
      <c r="E157" s="9" t="s">
        <v>696</v>
      </c>
      <c r="F157" s="10" t="s">
        <v>697</v>
      </c>
      <c r="G157" s="10" t="s">
        <v>700</v>
      </c>
      <c r="H157" s="10" t="s">
        <v>25</v>
      </c>
      <c r="I157" s="11">
        <v>46106.0</v>
      </c>
      <c r="J157" s="11">
        <v>46108.0</v>
      </c>
      <c r="K157" s="12" t="s">
        <v>20</v>
      </c>
      <c r="L157" s="17"/>
      <c r="M157" s="13" t="str">
        <f t="shared" si="1"/>
        <v>mobile</v>
      </c>
      <c r="N157" s="13" t="str">
        <f t="shared" si="2"/>
        <v>mobile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2" t="s">
        <v>38</v>
      </c>
      <c r="C158" s="30" t="s">
        <v>39</v>
      </c>
      <c r="D158" s="8"/>
      <c r="E158" s="9" t="s">
        <v>696</v>
      </c>
      <c r="F158" s="10" t="s">
        <v>697</v>
      </c>
      <c r="G158" s="12" t="s">
        <v>701</v>
      </c>
      <c r="H158" s="12" t="s">
        <v>25</v>
      </c>
      <c r="I158" s="11">
        <v>46106.0</v>
      </c>
      <c r="J158" s="32">
        <v>46108.0</v>
      </c>
      <c r="K158" s="12" t="s">
        <v>20</v>
      </c>
      <c r="L158" s="17"/>
      <c r="M158" s="13" t="str">
        <f t="shared" si="1"/>
        <v>mobile</v>
      </c>
      <c r="N158" s="13" t="str">
        <f t="shared" si="2"/>
        <v>mobile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2" t="s">
        <v>38</v>
      </c>
      <c r="C159" s="30" t="s">
        <v>39</v>
      </c>
      <c r="D159" s="33"/>
      <c r="E159" s="9" t="s">
        <v>696</v>
      </c>
      <c r="F159" s="10" t="s">
        <v>697</v>
      </c>
      <c r="G159" s="12" t="s">
        <v>702</v>
      </c>
      <c r="H159" s="12" t="s">
        <v>25</v>
      </c>
      <c r="I159" s="19">
        <v>46106.0</v>
      </c>
      <c r="J159" s="11">
        <v>46108.0</v>
      </c>
      <c r="K159" s="12" t="s">
        <v>20</v>
      </c>
      <c r="L159" s="17"/>
      <c r="M159" s="13" t="str">
        <f t="shared" si="1"/>
        <v>mobile</v>
      </c>
      <c r="N159" s="13" t="str">
        <f t="shared" si="2"/>
        <v>mobile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2" t="s">
        <v>55</v>
      </c>
      <c r="C160" s="30" t="s">
        <v>56</v>
      </c>
      <c r="D160" s="34" t="s">
        <v>703</v>
      </c>
      <c r="E160" s="9" t="s">
        <v>704</v>
      </c>
      <c r="F160" s="10" t="s">
        <v>705</v>
      </c>
      <c r="G160" s="12" t="s">
        <v>706</v>
      </c>
      <c r="H160" s="12" t="s">
        <v>44</v>
      </c>
      <c r="I160" s="11">
        <v>46106.0</v>
      </c>
      <c r="J160" s="11">
        <v>46108.0</v>
      </c>
      <c r="K160" s="12" t="s">
        <v>20</v>
      </c>
      <c r="L160" s="17"/>
      <c r="M160" s="13" t="str">
        <f t="shared" si="1"/>
        <v>fissa </v>
      </c>
      <c r="N160" s="13" t="str">
        <f t="shared" si="2"/>
        <v>fissa 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48" t="s">
        <v>75</v>
      </c>
      <c r="C161" s="48" t="s">
        <v>443</v>
      </c>
      <c r="D161" s="55" t="s">
        <v>707</v>
      </c>
      <c r="E161" s="50" t="s">
        <v>708</v>
      </c>
      <c r="F161" s="51" t="s">
        <v>709</v>
      </c>
      <c r="G161" s="48" t="s">
        <v>710</v>
      </c>
      <c r="H161" s="48" t="s">
        <v>25</v>
      </c>
      <c r="I161" s="52">
        <v>46107.0</v>
      </c>
      <c r="J161" s="56">
        <v>46107.0</v>
      </c>
      <c r="K161" s="12" t="s">
        <v>20</v>
      </c>
      <c r="L161" s="17"/>
      <c r="M161" s="13" t="str">
        <f t="shared" si="1"/>
        <v>mobile</v>
      </c>
      <c r="N161" s="13" t="str">
        <f t="shared" si="2"/>
        <v>mobile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2" t="s">
        <v>207</v>
      </c>
      <c r="C162" s="30" t="s">
        <v>208</v>
      </c>
      <c r="D162" s="34" t="s">
        <v>711</v>
      </c>
      <c r="E162" s="9" t="s">
        <v>712</v>
      </c>
      <c r="F162" s="10" t="s">
        <v>713</v>
      </c>
      <c r="G162" s="12" t="s">
        <v>714</v>
      </c>
      <c r="H162" s="12" t="s">
        <v>25</v>
      </c>
      <c r="I162" s="11">
        <v>46107.0</v>
      </c>
      <c r="J162" s="15">
        <v>46107.0</v>
      </c>
      <c r="K162" s="12" t="s">
        <v>20</v>
      </c>
      <c r="L162" s="17"/>
      <c r="M162" s="13" t="str">
        <f t="shared" si="1"/>
        <v>mobile</v>
      </c>
      <c r="N162" s="13" t="str">
        <f t="shared" si="2"/>
        <v>mobile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48" t="s">
        <v>75</v>
      </c>
      <c r="C163" s="48" t="s">
        <v>443</v>
      </c>
      <c r="D163" s="55" t="s">
        <v>715</v>
      </c>
      <c r="E163" s="50" t="s">
        <v>716</v>
      </c>
      <c r="F163" s="51" t="s">
        <v>717</v>
      </c>
      <c r="G163" s="48" t="s">
        <v>718</v>
      </c>
      <c r="H163" s="48" t="s">
        <v>37</v>
      </c>
      <c r="I163" s="52">
        <v>46107.0</v>
      </c>
      <c r="J163" s="56">
        <v>46109.0</v>
      </c>
      <c r="K163" s="12" t="s">
        <v>20</v>
      </c>
      <c r="L163" s="17"/>
      <c r="M163" s="13" t="str">
        <f t="shared" si="1"/>
        <v>mobile</v>
      </c>
      <c r="N163" s="13" t="str">
        <f t="shared" si="2"/>
        <v>mobile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2" t="s">
        <v>38</v>
      </c>
      <c r="C164" s="30" t="s">
        <v>39</v>
      </c>
      <c r="D164" s="14" t="s">
        <v>719</v>
      </c>
      <c r="E164" s="9" t="s">
        <v>696</v>
      </c>
      <c r="F164" s="10" t="s">
        <v>697</v>
      </c>
      <c r="G164" s="12" t="s">
        <v>720</v>
      </c>
      <c r="H164" s="12" t="s">
        <v>25</v>
      </c>
      <c r="I164" s="11">
        <v>46106.0</v>
      </c>
      <c r="J164" s="15">
        <v>46107.0</v>
      </c>
      <c r="K164" s="12" t="s">
        <v>20</v>
      </c>
      <c r="L164" s="17"/>
      <c r="M164" s="13" t="str">
        <f t="shared" si="1"/>
        <v>mobile</v>
      </c>
      <c r="N164" s="13" t="str">
        <f t="shared" si="2"/>
        <v>mobile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2" t="s">
        <v>38</v>
      </c>
      <c r="C165" s="30" t="s">
        <v>39</v>
      </c>
      <c r="D165" s="14"/>
      <c r="E165" s="9" t="s">
        <v>696</v>
      </c>
      <c r="F165" s="10" t="s">
        <v>697</v>
      </c>
      <c r="G165" s="12" t="s">
        <v>721</v>
      </c>
      <c r="H165" s="12" t="s">
        <v>25</v>
      </c>
      <c r="I165" s="11">
        <v>46106.0</v>
      </c>
      <c r="J165" s="15">
        <v>46107.0</v>
      </c>
      <c r="K165" s="12" t="s">
        <v>20</v>
      </c>
      <c r="L165" s="17"/>
      <c r="M165" s="13" t="str">
        <f t="shared" si="1"/>
        <v>mobile</v>
      </c>
      <c r="N165" s="13" t="str">
        <f t="shared" si="2"/>
        <v>mobile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2" t="s">
        <v>38</v>
      </c>
      <c r="C166" s="30" t="s">
        <v>39</v>
      </c>
      <c r="D166" s="34"/>
      <c r="E166" s="9" t="s">
        <v>696</v>
      </c>
      <c r="F166" s="10" t="s">
        <v>697</v>
      </c>
      <c r="G166" s="12" t="s">
        <v>722</v>
      </c>
      <c r="H166" s="12" t="s">
        <v>25</v>
      </c>
      <c r="I166" s="11">
        <v>46106.0</v>
      </c>
      <c r="J166" s="15">
        <v>46107.0</v>
      </c>
      <c r="K166" s="12" t="s">
        <v>20</v>
      </c>
      <c r="L166" s="17"/>
      <c r="M166" s="13" t="str">
        <f t="shared" si="1"/>
        <v>mobile</v>
      </c>
      <c r="N166" s="13" t="str">
        <f t="shared" si="2"/>
        <v>mobile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2" t="s">
        <v>38</v>
      </c>
      <c r="C167" s="30" t="s">
        <v>39</v>
      </c>
      <c r="D167" s="14"/>
      <c r="E167" s="9" t="s">
        <v>696</v>
      </c>
      <c r="F167" s="10" t="s">
        <v>697</v>
      </c>
      <c r="G167" s="12" t="s">
        <v>723</v>
      </c>
      <c r="H167" s="12" t="s">
        <v>25</v>
      </c>
      <c r="I167" s="11">
        <v>46106.0</v>
      </c>
      <c r="J167" s="15">
        <v>46107.0</v>
      </c>
      <c r="K167" s="12" t="s">
        <v>20</v>
      </c>
      <c r="L167" s="17"/>
      <c r="M167" s="13" t="str">
        <f t="shared" si="1"/>
        <v>mobile</v>
      </c>
      <c r="N167" s="13" t="str">
        <f t="shared" si="2"/>
        <v>mobile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2" t="s">
        <v>38</v>
      </c>
      <c r="C168" s="30" t="s">
        <v>39</v>
      </c>
      <c r="D168" s="34"/>
      <c r="E168" s="9" t="s">
        <v>696</v>
      </c>
      <c r="F168" s="10" t="s">
        <v>697</v>
      </c>
      <c r="G168" s="12" t="s">
        <v>724</v>
      </c>
      <c r="H168" s="12" t="s">
        <v>25</v>
      </c>
      <c r="I168" s="11">
        <v>46106.0</v>
      </c>
      <c r="J168" s="15">
        <v>46107.0</v>
      </c>
      <c r="K168" s="12" t="s">
        <v>20</v>
      </c>
      <c r="L168" s="17"/>
      <c r="M168" s="13" t="str">
        <f t="shared" si="1"/>
        <v>mobile</v>
      </c>
      <c r="N168" s="13" t="str">
        <f t="shared" si="2"/>
        <v>mobile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2" t="s">
        <v>38</v>
      </c>
      <c r="C169" s="30" t="s">
        <v>39</v>
      </c>
      <c r="D169" s="34"/>
      <c r="E169" s="9" t="s">
        <v>696</v>
      </c>
      <c r="F169" s="10" t="s">
        <v>697</v>
      </c>
      <c r="G169" s="12" t="s">
        <v>725</v>
      </c>
      <c r="H169" s="12" t="s">
        <v>25</v>
      </c>
      <c r="I169" s="45">
        <v>46106.0</v>
      </c>
      <c r="J169" s="15">
        <v>46107.0</v>
      </c>
      <c r="K169" s="12" t="s">
        <v>20</v>
      </c>
      <c r="L169" s="17"/>
      <c r="M169" s="13" t="str">
        <f t="shared" si="1"/>
        <v>mobile</v>
      </c>
      <c r="N169" s="13" t="str">
        <f t="shared" si="2"/>
        <v>mobile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2" t="s">
        <v>38</v>
      </c>
      <c r="C170" s="30" t="s">
        <v>39</v>
      </c>
      <c r="D170" s="14"/>
      <c r="E170" s="9" t="s">
        <v>696</v>
      </c>
      <c r="F170" s="10" t="s">
        <v>697</v>
      </c>
      <c r="G170" s="12" t="s">
        <v>726</v>
      </c>
      <c r="H170" s="12" t="s">
        <v>25</v>
      </c>
      <c r="I170" s="11">
        <v>46106.0</v>
      </c>
      <c r="J170" s="15">
        <v>46107.0</v>
      </c>
      <c r="K170" s="12" t="s">
        <v>20</v>
      </c>
      <c r="L170" s="17"/>
      <c r="M170" s="13" t="str">
        <f t="shared" si="1"/>
        <v>mobile</v>
      </c>
      <c r="N170" s="13" t="str">
        <f t="shared" si="2"/>
        <v>mobile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2" t="s">
        <v>38</v>
      </c>
      <c r="C171" s="30" t="s">
        <v>39</v>
      </c>
      <c r="D171" s="14"/>
      <c r="E171" s="9" t="s">
        <v>696</v>
      </c>
      <c r="F171" s="10" t="s">
        <v>697</v>
      </c>
      <c r="G171" s="12" t="s">
        <v>727</v>
      </c>
      <c r="H171" s="12" t="s">
        <v>25</v>
      </c>
      <c r="I171" s="11">
        <v>46106.0</v>
      </c>
      <c r="J171" s="15">
        <v>46107.0</v>
      </c>
      <c r="K171" s="12" t="s">
        <v>20</v>
      </c>
      <c r="L171" s="17"/>
      <c r="M171" s="13" t="str">
        <f t="shared" si="1"/>
        <v>mobile</v>
      </c>
      <c r="N171" s="13" t="str">
        <f t="shared" si="2"/>
        <v>mobile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2" t="s">
        <v>38</v>
      </c>
      <c r="C172" s="30" t="s">
        <v>39</v>
      </c>
      <c r="D172" s="18"/>
      <c r="E172" s="9" t="s">
        <v>696</v>
      </c>
      <c r="F172" s="10" t="s">
        <v>697</v>
      </c>
      <c r="G172" s="12" t="s">
        <v>728</v>
      </c>
      <c r="H172" s="12" t="s">
        <v>25</v>
      </c>
      <c r="I172" s="11">
        <v>46106.0</v>
      </c>
      <c r="J172" s="15">
        <v>46107.0</v>
      </c>
      <c r="K172" s="12" t="s">
        <v>20</v>
      </c>
      <c r="L172" s="17"/>
      <c r="M172" s="13" t="str">
        <f t="shared" si="1"/>
        <v>mobile</v>
      </c>
      <c r="N172" s="13" t="str">
        <f t="shared" si="2"/>
        <v>mobile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2" t="s">
        <v>38</v>
      </c>
      <c r="C173" s="30" t="s">
        <v>39</v>
      </c>
      <c r="D173" s="14"/>
      <c r="E173" s="9" t="s">
        <v>696</v>
      </c>
      <c r="F173" s="10" t="s">
        <v>697</v>
      </c>
      <c r="G173" s="12" t="s">
        <v>729</v>
      </c>
      <c r="H173" s="12" t="s">
        <v>25</v>
      </c>
      <c r="I173" s="11">
        <v>46106.0</v>
      </c>
      <c r="J173" s="15">
        <v>46107.0</v>
      </c>
      <c r="K173" s="12" t="s">
        <v>20</v>
      </c>
      <c r="L173" s="17"/>
      <c r="M173" s="13" t="str">
        <f t="shared" si="1"/>
        <v>mobile</v>
      </c>
      <c r="N173" s="13" t="str">
        <f t="shared" si="2"/>
        <v>mobile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2" t="s">
        <v>45</v>
      </c>
      <c r="C174" s="30" t="s">
        <v>46</v>
      </c>
      <c r="D174" s="14" t="s">
        <v>730</v>
      </c>
      <c r="E174" s="9" t="s">
        <v>51</v>
      </c>
      <c r="F174" s="10" t="s">
        <v>52</v>
      </c>
      <c r="G174" s="12" t="s">
        <v>731</v>
      </c>
      <c r="H174" s="12" t="s">
        <v>66</v>
      </c>
      <c r="I174" s="11">
        <v>46109.0</v>
      </c>
      <c r="J174" s="15">
        <v>46111.0</v>
      </c>
      <c r="K174" s="12" t="s">
        <v>20</v>
      </c>
      <c r="L174" s="17"/>
      <c r="M174" s="13" t="str">
        <f t="shared" si="1"/>
        <v>mobile</v>
      </c>
      <c r="N174" s="13" t="str">
        <f t="shared" si="2"/>
        <v>mobile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2" t="s">
        <v>45</v>
      </c>
      <c r="C175" s="30" t="s">
        <v>46</v>
      </c>
      <c r="D175" s="14"/>
      <c r="E175" s="9" t="s">
        <v>51</v>
      </c>
      <c r="F175" s="10" t="s">
        <v>52</v>
      </c>
      <c r="G175" s="12" t="s">
        <v>732</v>
      </c>
      <c r="H175" s="12" t="s">
        <v>68</v>
      </c>
      <c r="I175" s="11">
        <v>46109.0</v>
      </c>
      <c r="J175" s="15">
        <v>46111.0</v>
      </c>
      <c r="K175" s="12" t="s">
        <v>20</v>
      </c>
      <c r="L175" s="17"/>
      <c r="M175" s="13" t="str">
        <f t="shared" si="1"/>
        <v>fissa </v>
      </c>
      <c r="N175" s="13" t="str">
        <f t="shared" si="2"/>
        <v>fissa 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2" t="s">
        <v>45</v>
      </c>
      <c r="C176" s="30" t="s">
        <v>46</v>
      </c>
      <c r="D176" s="14" t="s">
        <v>50</v>
      </c>
      <c r="E176" s="9" t="s">
        <v>51</v>
      </c>
      <c r="F176" s="10" t="s">
        <v>52</v>
      </c>
      <c r="G176" s="12" t="s">
        <v>53</v>
      </c>
      <c r="H176" s="12" t="s">
        <v>54</v>
      </c>
      <c r="I176" s="11">
        <v>46109.0</v>
      </c>
      <c r="J176" s="35"/>
      <c r="K176" s="12" t="s">
        <v>529</v>
      </c>
      <c r="L176" s="17"/>
      <c r="M176" s="13" t="str">
        <f t="shared" si="1"/>
        <v>easy r</v>
      </c>
      <c r="N176" s="13" t="str">
        <f t="shared" si="2"/>
        <v/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2" t="s">
        <v>38</v>
      </c>
      <c r="C177" s="30" t="s">
        <v>39</v>
      </c>
      <c r="D177" s="14" t="s">
        <v>733</v>
      </c>
      <c r="E177" s="9" t="s">
        <v>734</v>
      </c>
      <c r="F177" s="10" t="s">
        <v>735</v>
      </c>
      <c r="G177" s="12" t="s">
        <v>736</v>
      </c>
      <c r="H177" s="12" t="s">
        <v>66</v>
      </c>
      <c r="I177" s="11">
        <v>46107.0</v>
      </c>
      <c r="J177" s="15">
        <v>46109.0</v>
      </c>
      <c r="K177" s="12" t="s">
        <v>20</v>
      </c>
      <c r="L177" s="17"/>
      <c r="M177" s="13" t="str">
        <f t="shared" si="1"/>
        <v>mobile</v>
      </c>
      <c r="N177" s="13" t="str">
        <f t="shared" si="2"/>
        <v>mobile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2" t="s">
        <v>38</v>
      </c>
      <c r="C178" s="30" t="s">
        <v>39</v>
      </c>
      <c r="D178" s="18"/>
      <c r="E178" s="9" t="s">
        <v>734</v>
      </c>
      <c r="F178" s="10" t="s">
        <v>735</v>
      </c>
      <c r="G178" s="12" t="s">
        <v>737</v>
      </c>
      <c r="H178" s="12" t="s">
        <v>68</v>
      </c>
      <c r="I178" s="11">
        <v>46107.0</v>
      </c>
      <c r="J178" s="15">
        <v>46109.0</v>
      </c>
      <c r="K178" s="12" t="s">
        <v>20</v>
      </c>
      <c r="L178" s="17"/>
      <c r="M178" s="13" t="str">
        <f t="shared" si="1"/>
        <v>fissa </v>
      </c>
      <c r="N178" s="13" t="str">
        <f t="shared" si="2"/>
        <v>fissa 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2" t="s">
        <v>38</v>
      </c>
      <c r="C179" s="30" t="s">
        <v>39</v>
      </c>
      <c r="D179" s="18"/>
      <c r="E179" s="9" t="s">
        <v>734</v>
      </c>
      <c r="F179" s="10" t="s">
        <v>735</v>
      </c>
      <c r="G179" s="12" t="s">
        <v>738</v>
      </c>
      <c r="H179" s="12" t="s">
        <v>37</v>
      </c>
      <c r="I179" s="11">
        <v>46107.0</v>
      </c>
      <c r="J179" s="15">
        <v>46109.0</v>
      </c>
      <c r="K179" s="12" t="s">
        <v>20</v>
      </c>
      <c r="L179" s="17"/>
      <c r="M179" s="13" t="str">
        <f t="shared" si="1"/>
        <v>mobile</v>
      </c>
      <c r="N179" s="13" t="str">
        <f t="shared" si="2"/>
        <v>mobile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2" t="s">
        <v>38</v>
      </c>
      <c r="C180" s="30" t="s">
        <v>39</v>
      </c>
      <c r="D180" s="14" t="s">
        <v>739</v>
      </c>
      <c r="E180" s="9" t="s">
        <v>696</v>
      </c>
      <c r="F180" s="10" t="s">
        <v>697</v>
      </c>
      <c r="G180" s="12" t="s">
        <v>740</v>
      </c>
      <c r="H180" s="12" t="s">
        <v>25</v>
      </c>
      <c r="I180" s="11">
        <v>46108.0</v>
      </c>
      <c r="J180" s="15">
        <v>46108.0</v>
      </c>
      <c r="K180" s="12" t="s">
        <v>20</v>
      </c>
      <c r="L180" s="17"/>
      <c r="M180" s="13" t="str">
        <f t="shared" si="1"/>
        <v>mobile</v>
      </c>
      <c r="N180" s="13" t="str">
        <f t="shared" si="2"/>
        <v>mobile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2" t="s">
        <v>38</v>
      </c>
      <c r="C181" s="30" t="s">
        <v>39</v>
      </c>
      <c r="D181" s="18"/>
      <c r="E181" s="9" t="s">
        <v>696</v>
      </c>
      <c r="F181" s="10" t="s">
        <v>697</v>
      </c>
      <c r="G181" s="12" t="s">
        <v>741</v>
      </c>
      <c r="H181" s="12" t="s">
        <v>25</v>
      </c>
      <c r="I181" s="11">
        <v>46108.0</v>
      </c>
      <c r="J181" s="15">
        <v>46108.0</v>
      </c>
      <c r="K181" s="12" t="s">
        <v>20</v>
      </c>
      <c r="L181" s="17"/>
      <c r="M181" s="13" t="str">
        <f t="shared" si="1"/>
        <v>mobile</v>
      </c>
      <c r="N181" s="13" t="str">
        <f t="shared" si="2"/>
        <v>mobile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2" t="s">
        <v>38</v>
      </c>
      <c r="C182" s="30" t="s">
        <v>39</v>
      </c>
      <c r="D182" s="18"/>
      <c r="E182" s="9" t="s">
        <v>742</v>
      </c>
      <c r="F182" s="10" t="s">
        <v>697</v>
      </c>
      <c r="G182" s="12" t="s">
        <v>743</v>
      </c>
      <c r="H182" s="12" t="s">
        <v>25</v>
      </c>
      <c r="I182" s="11">
        <v>46108.0</v>
      </c>
      <c r="J182" s="15">
        <v>46108.0</v>
      </c>
      <c r="K182" s="12" t="s">
        <v>20</v>
      </c>
      <c r="L182" s="17"/>
      <c r="M182" s="13" t="str">
        <f t="shared" si="1"/>
        <v>mobile</v>
      </c>
      <c r="N182" s="13" t="str">
        <f t="shared" si="2"/>
        <v>mobile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2" t="s">
        <v>38</v>
      </c>
      <c r="C183" s="30" t="s">
        <v>39</v>
      </c>
      <c r="D183" s="18"/>
      <c r="E183" s="9" t="s">
        <v>696</v>
      </c>
      <c r="F183" s="10" t="s">
        <v>697</v>
      </c>
      <c r="G183" s="12" t="s">
        <v>744</v>
      </c>
      <c r="H183" s="12" t="s">
        <v>25</v>
      </c>
      <c r="I183" s="11">
        <v>46108.0</v>
      </c>
      <c r="J183" s="15">
        <v>46108.0</v>
      </c>
      <c r="K183" s="12" t="s">
        <v>20</v>
      </c>
      <c r="L183" s="17"/>
      <c r="M183" s="13" t="str">
        <f t="shared" si="1"/>
        <v>mobile</v>
      </c>
      <c r="N183" s="13" t="str">
        <f t="shared" si="2"/>
        <v>mobile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2" t="s">
        <v>38</v>
      </c>
      <c r="C184" s="30" t="s">
        <v>39</v>
      </c>
      <c r="D184" s="18"/>
      <c r="E184" s="9" t="s">
        <v>696</v>
      </c>
      <c r="F184" s="10" t="s">
        <v>697</v>
      </c>
      <c r="G184" s="12" t="s">
        <v>745</v>
      </c>
      <c r="H184" s="12" t="s">
        <v>25</v>
      </c>
      <c r="I184" s="11">
        <v>46108.0</v>
      </c>
      <c r="J184" s="15">
        <v>46108.0</v>
      </c>
      <c r="K184" s="12" t="s">
        <v>20</v>
      </c>
      <c r="L184" s="17"/>
      <c r="M184" s="13" t="str">
        <f t="shared" si="1"/>
        <v>mobile</v>
      </c>
      <c r="N184" s="13" t="str">
        <f t="shared" si="2"/>
        <v>mobile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2" t="s">
        <v>38</v>
      </c>
      <c r="C185" s="30" t="s">
        <v>39</v>
      </c>
      <c r="D185" s="18"/>
      <c r="E185" s="9" t="s">
        <v>696</v>
      </c>
      <c r="F185" s="10" t="s">
        <v>697</v>
      </c>
      <c r="G185" s="12" t="s">
        <v>746</v>
      </c>
      <c r="H185" s="12" t="s">
        <v>25</v>
      </c>
      <c r="I185" s="11">
        <v>46108.0</v>
      </c>
      <c r="J185" s="15">
        <v>46108.0</v>
      </c>
      <c r="K185" s="12" t="s">
        <v>20</v>
      </c>
      <c r="L185" s="17"/>
      <c r="M185" s="13" t="str">
        <f t="shared" si="1"/>
        <v>mobile</v>
      </c>
      <c r="N185" s="13" t="str">
        <f t="shared" si="2"/>
        <v>mobile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2" t="s">
        <v>38</v>
      </c>
      <c r="C186" s="30" t="s">
        <v>39</v>
      </c>
      <c r="D186" s="18"/>
      <c r="E186" s="9" t="s">
        <v>696</v>
      </c>
      <c r="F186" s="10" t="s">
        <v>697</v>
      </c>
      <c r="G186" s="12" t="s">
        <v>747</v>
      </c>
      <c r="H186" s="12" t="s">
        <v>25</v>
      </c>
      <c r="I186" s="11">
        <v>46108.0</v>
      </c>
      <c r="J186" s="15">
        <v>46108.0</v>
      </c>
      <c r="K186" s="12" t="s">
        <v>20</v>
      </c>
      <c r="L186" s="17"/>
      <c r="M186" s="13" t="str">
        <f t="shared" si="1"/>
        <v>mobile</v>
      </c>
      <c r="N186" s="13" t="str">
        <f t="shared" si="2"/>
        <v>mobile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2" t="s">
        <v>38</v>
      </c>
      <c r="C187" s="30" t="s">
        <v>39</v>
      </c>
      <c r="D187" s="18"/>
      <c r="E187" s="9" t="s">
        <v>696</v>
      </c>
      <c r="F187" s="10" t="s">
        <v>697</v>
      </c>
      <c r="G187" s="12" t="s">
        <v>748</v>
      </c>
      <c r="H187" s="12" t="s">
        <v>25</v>
      </c>
      <c r="I187" s="11">
        <v>46108.0</v>
      </c>
      <c r="J187" s="15">
        <v>46108.0</v>
      </c>
      <c r="K187" s="12" t="s">
        <v>20</v>
      </c>
      <c r="L187" s="17"/>
      <c r="M187" s="13" t="str">
        <f t="shared" si="1"/>
        <v>mobile</v>
      </c>
      <c r="N187" s="13" t="str">
        <f t="shared" si="2"/>
        <v>mobile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2" t="s">
        <v>38</v>
      </c>
      <c r="C188" s="30" t="s">
        <v>39</v>
      </c>
      <c r="D188" s="18"/>
      <c r="E188" s="9" t="s">
        <v>696</v>
      </c>
      <c r="F188" s="10" t="s">
        <v>697</v>
      </c>
      <c r="G188" s="12" t="s">
        <v>749</v>
      </c>
      <c r="H188" s="12" t="s">
        <v>25</v>
      </c>
      <c r="I188" s="11">
        <v>46108.0</v>
      </c>
      <c r="J188" s="15">
        <v>46108.0</v>
      </c>
      <c r="K188" s="12" t="s">
        <v>20</v>
      </c>
      <c r="L188" s="17"/>
      <c r="M188" s="13" t="str">
        <f t="shared" si="1"/>
        <v>mobile</v>
      </c>
      <c r="N188" s="13" t="str">
        <f t="shared" si="2"/>
        <v>mobile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2" t="s">
        <v>38</v>
      </c>
      <c r="C189" s="30" t="s">
        <v>39</v>
      </c>
      <c r="D189" s="18"/>
      <c r="E189" s="9" t="s">
        <v>696</v>
      </c>
      <c r="F189" s="10" t="s">
        <v>697</v>
      </c>
      <c r="G189" s="12" t="s">
        <v>750</v>
      </c>
      <c r="H189" s="12" t="s">
        <v>25</v>
      </c>
      <c r="I189" s="11">
        <v>46108.0</v>
      </c>
      <c r="J189" s="15">
        <v>46108.0</v>
      </c>
      <c r="K189" s="12" t="s">
        <v>20</v>
      </c>
      <c r="L189" s="17"/>
      <c r="M189" s="13" t="str">
        <f t="shared" si="1"/>
        <v>mobile</v>
      </c>
      <c r="N189" s="13" t="str">
        <f t="shared" si="2"/>
        <v>mobile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2" t="s">
        <v>127</v>
      </c>
      <c r="C190" s="30" t="s">
        <v>128</v>
      </c>
      <c r="D190" s="14" t="s">
        <v>751</v>
      </c>
      <c r="E190" s="9" t="s">
        <v>752</v>
      </c>
      <c r="F190" s="10" t="s">
        <v>753</v>
      </c>
      <c r="G190" s="12" t="s">
        <v>754</v>
      </c>
      <c r="H190" s="12" t="s">
        <v>44</v>
      </c>
      <c r="I190" s="11">
        <v>46108.0</v>
      </c>
      <c r="J190" s="15">
        <v>46109.0</v>
      </c>
      <c r="K190" s="12" t="s">
        <v>20</v>
      </c>
      <c r="L190" s="17"/>
      <c r="M190" s="13" t="str">
        <f t="shared" si="1"/>
        <v>fissa </v>
      </c>
      <c r="N190" s="13" t="str">
        <f t="shared" si="2"/>
        <v>fissa 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2" t="s">
        <v>45</v>
      </c>
      <c r="C191" s="30" t="s">
        <v>46</v>
      </c>
      <c r="D191" s="14" t="s">
        <v>755</v>
      </c>
      <c r="E191" s="9" t="s">
        <v>756</v>
      </c>
      <c r="F191" s="10" t="s">
        <v>757</v>
      </c>
      <c r="G191" s="12" t="s">
        <v>758</v>
      </c>
      <c r="H191" s="12" t="s">
        <v>44</v>
      </c>
      <c r="I191" s="11">
        <v>46107.0</v>
      </c>
      <c r="J191" s="15">
        <v>46112.0</v>
      </c>
      <c r="K191" s="12" t="s">
        <v>20</v>
      </c>
      <c r="L191" s="17"/>
      <c r="M191" s="13" t="str">
        <f t="shared" si="1"/>
        <v>fissa </v>
      </c>
      <c r="N191" s="13" t="str">
        <f t="shared" si="2"/>
        <v>fissa 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2" t="s">
        <v>75</v>
      </c>
      <c r="C192" s="30" t="s">
        <v>76</v>
      </c>
      <c r="D192" s="14" t="s">
        <v>759</v>
      </c>
      <c r="E192" s="9" t="s">
        <v>83</v>
      </c>
      <c r="F192" s="10" t="s">
        <v>84</v>
      </c>
      <c r="G192" s="12" t="s">
        <v>760</v>
      </c>
      <c r="H192" s="12" t="s">
        <v>66</v>
      </c>
      <c r="I192" s="11">
        <v>46108.0</v>
      </c>
      <c r="J192" s="15">
        <v>46109.0</v>
      </c>
      <c r="K192" s="12" t="s">
        <v>20</v>
      </c>
      <c r="L192" s="17"/>
      <c r="M192" s="13" t="str">
        <f t="shared" si="1"/>
        <v>mobile</v>
      </c>
      <c r="N192" s="13" t="str">
        <f t="shared" si="2"/>
        <v>mobile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2" t="s">
        <v>75</v>
      </c>
      <c r="C193" s="30" t="s">
        <v>76</v>
      </c>
      <c r="D193" s="18"/>
      <c r="E193" s="9" t="s">
        <v>83</v>
      </c>
      <c r="F193" s="10" t="s">
        <v>84</v>
      </c>
      <c r="G193" s="12" t="s">
        <v>761</v>
      </c>
      <c r="H193" s="12" t="s">
        <v>68</v>
      </c>
      <c r="I193" s="11">
        <v>46108.0</v>
      </c>
      <c r="J193" s="15">
        <v>46109.0</v>
      </c>
      <c r="K193" s="12" t="s">
        <v>20</v>
      </c>
      <c r="L193" s="17"/>
      <c r="M193" s="13" t="str">
        <f t="shared" si="1"/>
        <v>fissa </v>
      </c>
      <c r="N193" s="13" t="str">
        <f t="shared" si="2"/>
        <v>fissa 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2" t="s">
        <v>75</v>
      </c>
      <c r="C194" s="30" t="s">
        <v>76</v>
      </c>
      <c r="D194" s="18"/>
      <c r="E194" s="9" t="s">
        <v>83</v>
      </c>
      <c r="F194" s="10" t="s">
        <v>84</v>
      </c>
      <c r="G194" s="12" t="s">
        <v>762</v>
      </c>
      <c r="H194" s="12" t="s">
        <v>37</v>
      </c>
      <c r="I194" s="11">
        <v>46108.0</v>
      </c>
      <c r="J194" s="15">
        <v>46109.0</v>
      </c>
      <c r="K194" s="12" t="s">
        <v>20</v>
      </c>
      <c r="L194" s="17"/>
      <c r="M194" s="13" t="str">
        <f t="shared" si="1"/>
        <v>mobile</v>
      </c>
      <c r="N194" s="13" t="str">
        <f t="shared" si="2"/>
        <v>mobile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2" t="s">
        <v>75</v>
      </c>
      <c r="C195" s="30" t="s">
        <v>76</v>
      </c>
      <c r="D195" s="18"/>
      <c r="E195" s="9" t="s">
        <v>83</v>
      </c>
      <c r="F195" s="10" t="s">
        <v>84</v>
      </c>
      <c r="G195" s="12" t="s">
        <v>85</v>
      </c>
      <c r="H195" s="12" t="s">
        <v>54</v>
      </c>
      <c r="I195" s="11">
        <v>46108.0</v>
      </c>
      <c r="J195" s="35"/>
      <c r="K195" s="12" t="s">
        <v>529</v>
      </c>
      <c r="L195" s="17"/>
      <c r="M195" s="13" t="str">
        <f t="shared" si="1"/>
        <v>easy r</v>
      </c>
      <c r="N195" s="13" t="str">
        <f t="shared" si="2"/>
        <v/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2" t="s">
        <v>207</v>
      </c>
      <c r="C196" s="30" t="s">
        <v>333</v>
      </c>
      <c r="D196" s="14" t="s">
        <v>763</v>
      </c>
      <c r="E196" s="9" t="s">
        <v>764</v>
      </c>
      <c r="F196" s="10" t="s">
        <v>765</v>
      </c>
      <c r="G196" s="12" t="s">
        <v>766</v>
      </c>
      <c r="H196" s="12" t="s">
        <v>44</v>
      </c>
      <c r="I196" s="11">
        <v>46109.0</v>
      </c>
      <c r="J196" s="15">
        <v>46111.0</v>
      </c>
      <c r="K196" s="12" t="s">
        <v>20</v>
      </c>
      <c r="L196" s="17"/>
      <c r="M196" s="13" t="str">
        <f t="shared" si="1"/>
        <v>fissa </v>
      </c>
      <c r="N196" s="13" t="str">
        <f t="shared" si="2"/>
        <v>fissa 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48" t="s">
        <v>75</v>
      </c>
      <c r="C197" s="48" t="s">
        <v>443</v>
      </c>
      <c r="D197" s="49" t="s">
        <v>767</v>
      </c>
      <c r="E197" s="50" t="s">
        <v>768</v>
      </c>
      <c r="F197" s="51" t="s">
        <v>769</v>
      </c>
      <c r="G197" s="48" t="s">
        <v>770</v>
      </c>
      <c r="H197" s="48" t="s">
        <v>37</v>
      </c>
      <c r="I197" s="52">
        <v>46109.0</v>
      </c>
      <c r="J197" s="56">
        <v>46109.0</v>
      </c>
      <c r="K197" s="12" t="s">
        <v>20</v>
      </c>
      <c r="L197" s="17"/>
      <c r="M197" s="13" t="str">
        <f t="shared" si="1"/>
        <v>mobile</v>
      </c>
      <c r="N197" s="13" t="str">
        <f t="shared" si="2"/>
        <v>mobile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2" t="s">
        <v>13</v>
      </c>
      <c r="C198" s="30" t="s">
        <v>14</v>
      </c>
      <c r="D198" s="14" t="s">
        <v>771</v>
      </c>
      <c r="E198" s="9" t="s">
        <v>772</v>
      </c>
      <c r="F198" s="10" t="s">
        <v>773</v>
      </c>
      <c r="G198" s="12" t="s">
        <v>774</v>
      </c>
      <c r="H198" s="12" t="s">
        <v>44</v>
      </c>
      <c r="I198" s="11">
        <v>46110.0</v>
      </c>
      <c r="J198" s="15">
        <v>46112.0</v>
      </c>
      <c r="K198" s="12" t="s">
        <v>20</v>
      </c>
      <c r="L198" s="17"/>
      <c r="M198" s="13" t="str">
        <f t="shared" si="1"/>
        <v>fissa </v>
      </c>
      <c r="N198" s="13" t="str">
        <f t="shared" si="2"/>
        <v>fissa 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2" t="s">
        <v>38</v>
      </c>
      <c r="C199" s="30" t="s">
        <v>39</v>
      </c>
      <c r="D199" s="14" t="s">
        <v>775</v>
      </c>
      <c r="E199" s="9" t="s">
        <v>776</v>
      </c>
      <c r="F199" s="10" t="s">
        <v>777</v>
      </c>
      <c r="G199" s="12" t="s">
        <v>778</v>
      </c>
      <c r="H199" s="12" t="s">
        <v>37</v>
      </c>
      <c r="I199" s="11">
        <v>46111.0</v>
      </c>
      <c r="J199" s="15">
        <v>46111.0</v>
      </c>
      <c r="K199" s="12" t="s">
        <v>20</v>
      </c>
      <c r="L199" s="17"/>
      <c r="M199" s="13" t="str">
        <f t="shared" si="1"/>
        <v>mobile</v>
      </c>
      <c r="N199" s="13" t="str">
        <f t="shared" si="2"/>
        <v>mobile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2" t="s">
        <v>116</v>
      </c>
      <c r="C200" s="30" t="s">
        <v>128</v>
      </c>
      <c r="D200" s="14" t="s">
        <v>779</v>
      </c>
      <c r="E200" s="9" t="s">
        <v>780</v>
      </c>
      <c r="F200" s="10" t="s">
        <v>781</v>
      </c>
      <c r="G200" s="12" t="s">
        <v>782</v>
      </c>
      <c r="H200" s="12" t="s">
        <v>37</v>
      </c>
      <c r="I200" s="11">
        <v>46111.0</v>
      </c>
      <c r="J200" s="15">
        <v>46112.0</v>
      </c>
      <c r="K200" s="12" t="s">
        <v>20</v>
      </c>
      <c r="L200" s="17"/>
      <c r="M200" s="13" t="str">
        <f t="shared" si="1"/>
        <v>mobile</v>
      </c>
      <c r="N200" s="13" t="str">
        <f t="shared" si="2"/>
        <v>mobile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6" t="s">
        <v>45</v>
      </c>
      <c r="C201" s="7" t="s">
        <v>46</v>
      </c>
      <c r="D201" s="14" t="s">
        <v>783</v>
      </c>
      <c r="E201" s="9" t="s">
        <v>47</v>
      </c>
      <c r="F201" s="10" t="s">
        <v>48</v>
      </c>
      <c r="G201" s="10" t="s">
        <v>784</v>
      </c>
      <c r="H201" s="10" t="s">
        <v>25</v>
      </c>
      <c r="I201" s="11">
        <v>46100.0</v>
      </c>
      <c r="J201" s="11">
        <v>46112.0</v>
      </c>
      <c r="K201" s="12" t="s">
        <v>20</v>
      </c>
      <c r="L201" s="17"/>
      <c r="M201" s="31" t="s">
        <v>296</v>
      </c>
      <c r="N201" s="31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6" t="s">
        <v>45</v>
      </c>
      <c r="C202" s="7" t="s">
        <v>46</v>
      </c>
      <c r="D202" s="8"/>
      <c r="E202" s="9" t="s">
        <v>47</v>
      </c>
      <c r="F202" s="10" t="s">
        <v>48</v>
      </c>
      <c r="G202" s="10" t="s">
        <v>49</v>
      </c>
      <c r="H202" s="10" t="s">
        <v>25</v>
      </c>
      <c r="I202" s="11">
        <v>46100.0</v>
      </c>
      <c r="J202" s="11"/>
      <c r="K202" s="12" t="s">
        <v>529</v>
      </c>
      <c r="L202" s="17"/>
      <c r="M202" s="31" t="s">
        <v>296</v>
      </c>
      <c r="N202" s="31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6" t="s">
        <v>45</v>
      </c>
      <c r="C203" s="7" t="s">
        <v>46</v>
      </c>
      <c r="D203" s="8"/>
      <c r="E203" s="9" t="s">
        <v>47</v>
      </c>
      <c r="F203" s="10" t="s">
        <v>48</v>
      </c>
      <c r="G203" s="10" t="s">
        <v>785</v>
      </c>
      <c r="H203" s="10" t="s">
        <v>25</v>
      </c>
      <c r="I203" s="19">
        <v>46100.0</v>
      </c>
      <c r="J203" s="11">
        <v>46112.0</v>
      </c>
      <c r="K203" s="12" t="s">
        <v>20</v>
      </c>
      <c r="L203" s="17"/>
      <c r="M203" s="31" t="s">
        <v>296</v>
      </c>
      <c r="N203" s="31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6" t="s">
        <v>13</v>
      </c>
      <c r="C204" s="30" t="s">
        <v>14</v>
      </c>
      <c r="D204" s="14" t="s">
        <v>786</v>
      </c>
      <c r="E204" s="9" t="s">
        <v>22</v>
      </c>
      <c r="F204" s="10" t="s">
        <v>787</v>
      </c>
      <c r="G204" s="10" t="s">
        <v>788</v>
      </c>
      <c r="H204" s="10" t="s">
        <v>25</v>
      </c>
      <c r="I204" s="11">
        <v>46104.0</v>
      </c>
      <c r="J204" s="11">
        <v>46112.0</v>
      </c>
      <c r="K204" s="12" t="s">
        <v>20</v>
      </c>
      <c r="L204" s="17"/>
      <c r="M204" s="31" t="s">
        <v>296</v>
      </c>
      <c r="N204" s="31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6" t="s">
        <v>13</v>
      </c>
      <c r="C205" s="30" t="s">
        <v>14</v>
      </c>
      <c r="D205" s="21"/>
      <c r="E205" s="9" t="s">
        <v>22</v>
      </c>
      <c r="F205" s="10" t="s">
        <v>787</v>
      </c>
      <c r="G205" s="10" t="s">
        <v>24</v>
      </c>
      <c r="H205" s="10" t="s">
        <v>25</v>
      </c>
      <c r="I205" s="19">
        <v>46104.0</v>
      </c>
      <c r="J205" s="11"/>
      <c r="K205" s="12" t="s">
        <v>529</v>
      </c>
      <c r="L205" s="17"/>
      <c r="M205" s="31" t="s">
        <v>296</v>
      </c>
      <c r="N205" s="31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6" t="s">
        <v>13</v>
      </c>
      <c r="C206" s="30" t="s">
        <v>14</v>
      </c>
      <c r="D206" s="14"/>
      <c r="E206" s="9" t="s">
        <v>22</v>
      </c>
      <c r="F206" s="10" t="s">
        <v>787</v>
      </c>
      <c r="G206" s="10" t="s">
        <v>789</v>
      </c>
      <c r="H206" s="10" t="s">
        <v>25</v>
      </c>
      <c r="I206" s="11">
        <v>46104.0</v>
      </c>
      <c r="J206" s="11">
        <v>46112.0</v>
      </c>
      <c r="K206" s="12" t="s">
        <v>20</v>
      </c>
      <c r="L206" s="17"/>
      <c r="M206" s="31" t="s">
        <v>296</v>
      </c>
      <c r="N206" s="31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2" t="s">
        <v>116</v>
      </c>
      <c r="C207" s="30" t="s">
        <v>128</v>
      </c>
      <c r="D207" s="14" t="s">
        <v>779</v>
      </c>
      <c r="E207" s="9" t="s">
        <v>780</v>
      </c>
      <c r="F207" s="10" t="s">
        <v>781</v>
      </c>
      <c r="G207" s="12" t="s">
        <v>790</v>
      </c>
      <c r="H207" s="12" t="s">
        <v>54</v>
      </c>
      <c r="I207" s="11">
        <v>46111.0</v>
      </c>
      <c r="J207" s="11"/>
      <c r="K207" s="12" t="s">
        <v>529</v>
      </c>
      <c r="L207" s="17"/>
      <c r="M207" s="31" t="s">
        <v>296</v>
      </c>
      <c r="N207" s="31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2" t="s">
        <v>26</v>
      </c>
      <c r="C208" s="12" t="s">
        <v>27</v>
      </c>
      <c r="D208" s="12">
        <v>1.00080881E8</v>
      </c>
      <c r="E208" s="10">
        <v>7.444510486E9</v>
      </c>
      <c r="F208" s="10" t="s">
        <v>30</v>
      </c>
      <c r="G208" s="12" t="s">
        <v>791</v>
      </c>
      <c r="H208" s="12" t="s">
        <v>25</v>
      </c>
      <c r="I208" s="57">
        <v>46112.0</v>
      </c>
      <c r="J208" s="57">
        <v>46112.0</v>
      </c>
      <c r="K208" s="12" t="s">
        <v>20</v>
      </c>
      <c r="L208" s="17"/>
      <c r="M208" s="31" t="s">
        <v>301</v>
      </c>
      <c r="N208" s="31" t="s">
        <v>301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7"/>
      <c r="B209" s="12" t="s">
        <v>86</v>
      </c>
      <c r="C209" s="12" t="s">
        <v>87</v>
      </c>
      <c r="D209" s="12">
        <v>1.00082029E8</v>
      </c>
      <c r="E209" s="12">
        <v>2.475180507E9</v>
      </c>
      <c r="F209" s="10" t="s">
        <v>792</v>
      </c>
      <c r="G209" s="12" t="s">
        <v>793</v>
      </c>
      <c r="H209" s="12" t="s">
        <v>599</v>
      </c>
      <c r="I209" s="57">
        <v>46112.0</v>
      </c>
      <c r="J209" s="57">
        <v>46112.0</v>
      </c>
      <c r="K209" s="12" t="s">
        <v>20</v>
      </c>
      <c r="L209" s="17"/>
      <c r="M209" s="10" t="s">
        <v>296</v>
      </c>
      <c r="N209" s="10" t="s">
        <v>296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7"/>
      <c r="B210" s="12" t="s">
        <v>55</v>
      </c>
      <c r="C210" s="12" t="s">
        <v>56</v>
      </c>
      <c r="D210" s="12">
        <v>1.00082023E8</v>
      </c>
      <c r="E210" s="12">
        <v>2.545920502E9</v>
      </c>
      <c r="F210" s="10" t="s">
        <v>794</v>
      </c>
      <c r="G210" s="12" t="s">
        <v>795</v>
      </c>
      <c r="H210" s="12" t="s">
        <v>599</v>
      </c>
      <c r="I210" s="57">
        <v>46112.0</v>
      </c>
      <c r="J210" s="57">
        <v>46112.0</v>
      </c>
      <c r="K210" s="12" t="s">
        <v>20</v>
      </c>
      <c r="L210" s="17"/>
      <c r="M210" s="10" t="s">
        <v>296</v>
      </c>
      <c r="N210" s="10" t="s">
        <v>296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7"/>
      <c r="B211" s="12" t="s">
        <v>75</v>
      </c>
      <c r="C211" s="12" t="s">
        <v>76</v>
      </c>
      <c r="D211" s="12">
        <v>1.00082135E8</v>
      </c>
      <c r="E211" s="12">
        <v>2.085910475E9</v>
      </c>
      <c r="F211" s="10" t="s">
        <v>796</v>
      </c>
      <c r="G211" s="12" t="s">
        <v>797</v>
      </c>
      <c r="H211" s="12" t="s">
        <v>599</v>
      </c>
      <c r="I211" s="57">
        <v>46112.0</v>
      </c>
      <c r="J211" s="57">
        <v>46112.0</v>
      </c>
      <c r="K211" s="12" t="s">
        <v>20</v>
      </c>
      <c r="L211" s="17"/>
      <c r="M211" s="10" t="s">
        <v>296</v>
      </c>
      <c r="N211" s="10" t="s">
        <v>296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7"/>
      <c r="B212" s="12" t="s">
        <v>38</v>
      </c>
      <c r="C212" s="12" t="s">
        <v>61</v>
      </c>
      <c r="D212" s="12">
        <v>1.00081761E8</v>
      </c>
      <c r="E212" s="12">
        <v>1.732790538E9</v>
      </c>
      <c r="F212" s="10" t="s">
        <v>64</v>
      </c>
      <c r="G212" s="12" t="s">
        <v>70</v>
      </c>
      <c r="H212" s="12" t="s">
        <v>37</v>
      </c>
      <c r="I212" s="57">
        <v>46112.0</v>
      </c>
      <c r="J212" s="17"/>
      <c r="K212" s="12" t="s">
        <v>529</v>
      </c>
      <c r="L212" s="17"/>
      <c r="M212" s="10" t="s">
        <v>296</v>
      </c>
      <c r="N212" s="10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7"/>
      <c r="B213" s="12" t="s">
        <v>55</v>
      </c>
      <c r="C213" s="12" t="s">
        <v>56</v>
      </c>
      <c r="D213" s="12">
        <v>1.00082407E8</v>
      </c>
      <c r="E213" s="12">
        <v>2.437450501E9</v>
      </c>
      <c r="F213" s="12" t="s">
        <v>798</v>
      </c>
      <c r="G213" s="12" t="s">
        <v>799</v>
      </c>
      <c r="H213" s="12" t="s">
        <v>37</v>
      </c>
      <c r="I213" s="57">
        <v>46112.0</v>
      </c>
      <c r="J213" s="57">
        <v>46112.0</v>
      </c>
      <c r="K213" s="12" t="s">
        <v>20</v>
      </c>
      <c r="L213" s="17"/>
      <c r="M213" s="10" t="s">
        <v>296</v>
      </c>
      <c r="N213" s="10" t="s">
        <v>296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7"/>
      <c r="B214" s="12" t="s">
        <v>55</v>
      </c>
      <c r="C214" s="12" t="s">
        <v>56</v>
      </c>
      <c r="D214" s="17"/>
      <c r="E214" s="12">
        <v>2.437450501E9</v>
      </c>
      <c r="F214" s="12" t="s">
        <v>798</v>
      </c>
      <c r="G214" s="12" t="s">
        <v>60</v>
      </c>
      <c r="H214" s="12" t="s">
        <v>54</v>
      </c>
      <c r="I214" s="57">
        <v>46112.0</v>
      </c>
      <c r="J214" s="17"/>
      <c r="K214" s="12" t="s">
        <v>529</v>
      </c>
      <c r="L214" s="17"/>
      <c r="M214" s="10" t="s">
        <v>301</v>
      </c>
      <c r="N214" s="10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7"/>
      <c r="B215" s="12" t="s">
        <v>86</v>
      </c>
      <c r="C215" s="12" t="s">
        <v>39</v>
      </c>
      <c r="D215" s="12">
        <v>1.00082349E8</v>
      </c>
      <c r="E215" s="12">
        <v>1.731160535E9</v>
      </c>
      <c r="F215" s="12" t="s">
        <v>800</v>
      </c>
      <c r="G215" s="12" t="s">
        <v>801</v>
      </c>
      <c r="H215" s="12" t="s">
        <v>599</v>
      </c>
      <c r="I215" s="57">
        <v>46112.0</v>
      </c>
      <c r="J215" s="57">
        <v>46112.0</v>
      </c>
      <c r="K215" s="12" t="s">
        <v>20</v>
      </c>
      <c r="L215" s="17"/>
      <c r="M215" s="10" t="s">
        <v>296</v>
      </c>
      <c r="N215" s="10" t="s">
        <v>296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7"/>
      <c r="B216" s="12" t="s">
        <v>86</v>
      </c>
      <c r="C216" s="12" t="s">
        <v>87</v>
      </c>
      <c r="D216" s="12">
        <v>1.00079987E8</v>
      </c>
      <c r="E216" s="12">
        <v>2.503170512E9</v>
      </c>
      <c r="F216" s="12" t="s">
        <v>446</v>
      </c>
      <c r="G216" s="12" t="s">
        <v>447</v>
      </c>
      <c r="H216" s="12" t="s">
        <v>44</v>
      </c>
      <c r="I216" s="57">
        <v>46111.0</v>
      </c>
      <c r="J216" s="57">
        <v>46112.0</v>
      </c>
      <c r="K216" s="12" t="s">
        <v>20</v>
      </c>
      <c r="L216" s="17"/>
      <c r="M216" s="10" t="str">
        <f>IF(H190="","", LEFT(H190,6))</f>
        <v>fissa </v>
      </c>
      <c r="N216" s="58" t="str">
        <f>IF(H190="","", LEFT(H190,6))</f>
        <v>fissa 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7"/>
      <c r="B217" s="12"/>
      <c r="C217" s="12"/>
      <c r="D217" s="12"/>
      <c r="E217" s="12"/>
      <c r="F217" s="12"/>
      <c r="G217" s="12"/>
      <c r="H217" s="12"/>
      <c r="I217" s="57"/>
      <c r="J217" s="17"/>
      <c r="K217" s="17"/>
      <c r="L217" s="17"/>
      <c r="M217" s="17"/>
      <c r="N217" s="17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7"/>
      <c r="B218" s="12"/>
      <c r="C218" s="12"/>
      <c r="D218" s="12"/>
      <c r="E218" s="12"/>
      <c r="F218" s="12"/>
      <c r="G218" s="12"/>
      <c r="H218" s="12"/>
      <c r="I218" s="57"/>
      <c r="J218" s="17"/>
      <c r="K218" s="17"/>
      <c r="L218" s="17"/>
      <c r="M218" s="17"/>
      <c r="N218" s="17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autoFilter ref="$A$1:$Z$1000"/>
  <dataValidations>
    <dataValidation type="list" allowBlank="1" showErrorMessage="1" sqref="B3:B250">
      <formula1>"comet pontedera,euronics corciano,euronics gavinana,euronics grosseto,euronics montecatini,euronics parco prato,mw agliana,mw collestrada,mw empoli,mw figline ,mw gigli,mw pisa,mw roma est,mw roma (porta di),mw roma primavera,all around"</formula1>
    </dataValidation>
    <dataValidation type="list" allowBlank="1" showErrorMessage="1" sqref="L3:L250">
      <formula1>"easy rent,passato da vf store,inserito mese precedente,subentro da abb consumer,annullato,soluzione digitale"</formula1>
    </dataValidation>
    <dataValidation type="list" allowBlank="1" showErrorMessage="1" sqref="H3:H250">
      <formula1>"mobile comfort ,mobile smart,mobile ob,mobile red xs,fissa comfort,fissa smart,fissa ob,fissa total wireless,fissa fwa5g,fissa one net premium,easy rent"</formula1>
    </dataValidation>
    <dataValidation type="list" allowBlank="1" showErrorMessage="1" sqref="C3:C250">
      <formula1>"Adelina Meta,Aissam El Moujaid,Ditifet,David John Gallo,Emerson Espiritu,Emiliano Romei,Fabian Sulmina,Feris Rahmouni,Francesco Belmonte,Francesco Butelli,Giovanni Giglio,Gloria La Giusa,Mariami Iashvili,Matteo Stefanelli,Nicole Gamboa,Samuele Guido,Seren"&amp;"ella Nacci,Simona Cucu,Simone Marra"</formula1>
    </dataValidation>
    <dataValidation type="date" allowBlank="1" showDropDown="1" sqref="I3:I250">
      <formula1>46082.0</formula1>
      <formula2>46112.0</formula2>
    </dataValidation>
    <dataValidation type="date" allowBlank="1" showDropDown="1" showErrorMessage="1" sqref="J3:J250">
      <formula1>46082.0</formula1>
      <formula2>46112.0</formula2>
    </dataValidation>
    <dataValidation type="list" allowBlank="1" showErrorMessage="1" sqref="K3:K250">
      <formula1>"sì,no"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6.5"/>
    <col customWidth="1" min="4" max="4" width="17.13"/>
    <col customWidth="1" min="5" max="5" width="15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8">
        <v>46082.0</v>
      </c>
      <c r="C2" s="39"/>
      <c r="D2" s="40"/>
      <c r="E2" s="2"/>
      <c r="F2" s="41" t="s">
        <v>292</v>
      </c>
      <c r="G2" s="3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2" t="s">
        <v>293</v>
      </c>
      <c r="C3" s="43">
        <v>31.0</v>
      </c>
      <c r="D3" s="40"/>
      <c r="E3" s="2"/>
      <c r="F3" s="42" t="s">
        <v>294</v>
      </c>
      <c r="G3" s="44">
        <f>D8*C3/C4</f>
        <v>53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2" t="s">
        <v>295</v>
      </c>
      <c r="C4" s="43">
        <v>31.0</v>
      </c>
      <c r="D4" s="40"/>
      <c r="E4" s="2"/>
      <c r="F4" s="42" t="s">
        <v>296</v>
      </c>
      <c r="G4" s="44">
        <f>D9*C3/C4</f>
        <v>137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4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4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4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4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4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4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4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4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4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4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4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4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4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4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4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4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4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4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4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4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4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4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4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4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4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4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4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4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4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4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4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4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4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4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4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4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4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4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4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4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4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4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4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4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4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4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4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4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4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4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4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4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4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4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4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4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4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4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4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4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4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4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4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4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4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4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4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4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4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4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</sheetData>
  <mergeCells count="2">
    <mergeCell ref="B2:C2"/>
    <mergeCell ref="F2:G2"/>
  </mergeCell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1.0"/>
    <col customWidth="1" min="3" max="3" width="21.88"/>
    <col customWidth="1" min="4" max="4" width="10.0"/>
    <col customWidth="1" min="5" max="5" width="12.0"/>
    <col customWidth="1" min="6" max="6" width="36.38"/>
    <col customWidth="1" min="7" max="7" width="19.5"/>
    <col customWidth="1" min="8" max="8" width="23.13"/>
    <col customWidth="1" min="9" max="10" width="10.13"/>
    <col customWidth="1" min="11" max="11" width="20.13"/>
    <col customWidth="1" min="12" max="12" width="25.13"/>
    <col customWidth="1" min="13" max="13" width="10.75"/>
    <col customWidth="1" min="14" max="14" width="11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0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5" t="s">
        <v>803</v>
      </c>
      <c r="L2" s="3" t="s">
        <v>10</v>
      </c>
      <c r="M2" s="3" t="s">
        <v>11</v>
      </c>
      <c r="N2" s="3" t="s">
        <v>12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6" t="s">
        <v>55</v>
      </c>
      <c r="C3" s="7" t="s">
        <v>56</v>
      </c>
      <c r="D3" s="8" t="s">
        <v>804</v>
      </c>
      <c r="E3" s="9" t="s">
        <v>805</v>
      </c>
      <c r="F3" s="10" t="s">
        <v>806</v>
      </c>
      <c r="G3" s="10" t="s">
        <v>807</v>
      </c>
      <c r="H3" s="10" t="s">
        <v>25</v>
      </c>
      <c r="I3" s="19">
        <v>46056.0</v>
      </c>
      <c r="J3" s="11">
        <v>46056.0</v>
      </c>
      <c r="K3" s="10" t="s">
        <v>20</v>
      </c>
      <c r="L3" s="12"/>
      <c r="M3" s="13" t="str">
        <f t="shared" ref="M3:M200" si="1">IF(H3="","", LEFT(H3,6))</f>
        <v>mobile</v>
      </c>
      <c r="N3" s="13" t="str">
        <f t="shared" ref="N3:N200" si="2">IF(J3="","",M3)</f>
        <v>mobile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" t="s">
        <v>86</v>
      </c>
      <c r="C4" s="7" t="s">
        <v>87</v>
      </c>
      <c r="D4" s="14" t="s">
        <v>808</v>
      </c>
      <c r="E4" s="9" t="s">
        <v>809</v>
      </c>
      <c r="F4" s="10" t="s">
        <v>810</v>
      </c>
      <c r="G4" s="10" t="s">
        <v>811</v>
      </c>
      <c r="H4" s="10" t="s">
        <v>25</v>
      </c>
      <c r="I4" s="11">
        <v>46056.0</v>
      </c>
      <c r="J4" s="11">
        <v>46056.0</v>
      </c>
      <c r="K4" s="10" t="s">
        <v>20</v>
      </c>
      <c r="L4" s="12"/>
      <c r="M4" s="13" t="str">
        <f t="shared" si="1"/>
        <v>mobile</v>
      </c>
      <c r="N4" s="13" t="str">
        <f t="shared" si="2"/>
        <v>mobile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6" t="s">
        <v>86</v>
      </c>
      <c r="C5" s="7" t="s">
        <v>87</v>
      </c>
      <c r="D5" s="8"/>
      <c r="E5" s="9" t="s">
        <v>809</v>
      </c>
      <c r="F5" s="10" t="s">
        <v>810</v>
      </c>
      <c r="G5" s="9" t="s">
        <v>812</v>
      </c>
      <c r="H5" s="10" t="s">
        <v>25</v>
      </c>
      <c r="I5" s="11">
        <v>46056.0</v>
      </c>
      <c r="J5" s="11">
        <v>46057.0</v>
      </c>
      <c r="K5" s="10" t="s">
        <v>20</v>
      </c>
      <c r="L5" s="17"/>
      <c r="M5" s="13" t="str">
        <f t="shared" si="1"/>
        <v>mobile</v>
      </c>
      <c r="N5" s="13" t="str">
        <f t="shared" si="2"/>
        <v>mobile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6" t="s">
        <v>86</v>
      </c>
      <c r="C6" s="7" t="s">
        <v>87</v>
      </c>
      <c r="D6" s="14"/>
      <c r="E6" s="9" t="s">
        <v>809</v>
      </c>
      <c r="F6" s="10" t="s">
        <v>810</v>
      </c>
      <c r="G6" s="10" t="s">
        <v>813</v>
      </c>
      <c r="H6" s="10" t="s">
        <v>25</v>
      </c>
      <c r="I6" s="19">
        <v>46056.0</v>
      </c>
      <c r="J6" s="15">
        <v>46056.0</v>
      </c>
      <c r="K6" s="12" t="s">
        <v>20</v>
      </c>
      <c r="L6" s="17"/>
      <c r="M6" s="13" t="str">
        <f t="shared" si="1"/>
        <v>mobile</v>
      </c>
      <c r="N6" s="13" t="str">
        <f t="shared" si="2"/>
        <v>mobile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" t="s">
        <v>38</v>
      </c>
      <c r="C7" s="7" t="s">
        <v>39</v>
      </c>
      <c r="D7" s="8" t="s">
        <v>814</v>
      </c>
      <c r="E7" s="9" t="s">
        <v>527</v>
      </c>
      <c r="F7" s="10" t="s">
        <v>528</v>
      </c>
      <c r="G7" s="10" t="s">
        <v>815</v>
      </c>
      <c r="H7" s="10" t="s">
        <v>25</v>
      </c>
      <c r="I7" s="11">
        <v>46063.0</v>
      </c>
      <c r="J7" s="11">
        <v>46065.0</v>
      </c>
      <c r="K7" s="10" t="s">
        <v>20</v>
      </c>
      <c r="L7" s="17"/>
      <c r="M7" s="13" t="str">
        <f t="shared" si="1"/>
        <v>mobile</v>
      </c>
      <c r="N7" s="13" t="str">
        <f t="shared" si="2"/>
        <v>mobile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6" t="s">
        <v>38</v>
      </c>
      <c r="C8" s="7" t="s">
        <v>39</v>
      </c>
      <c r="D8" s="21"/>
      <c r="E8" s="9" t="s">
        <v>527</v>
      </c>
      <c r="F8" s="10" t="s">
        <v>528</v>
      </c>
      <c r="G8" s="10" t="s">
        <v>816</v>
      </c>
      <c r="H8" s="10" t="s">
        <v>25</v>
      </c>
      <c r="I8" s="11">
        <v>46063.0</v>
      </c>
      <c r="J8" s="11">
        <v>46065.0</v>
      </c>
      <c r="K8" s="10" t="s">
        <v>20</v>
      </c>
      <c r="L8" s="17"/>
      <c r="M8" s="13" t="str">
        <f t="shared" si="1"/>
        <v>mobile</v>
      </c>
      <c r="N8" s="13" t="str">
        <f t="shared" si="2"/>
        <v>mobile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38</v>
      </c>
      <c r="C9" s="7" t="s">
        <v>39</v>
      </c>
      <c r="D9" s="8" t="s">
        <v>817</v>
      </c>
      <c r="E9" s="9" t="s">
        <v>818</v>
      </c>
      <c r="F9" s="10" t="s">
        <v>819</v>
      </c>
      <c r="G9" s="10" t="s">
        <v>820</v>
      </c>
      <c r="H9" s="10" t="s">
        <v>25</v>
      </c>
      <c r="I9" s="11">
        <v>46063.0</v>
      </c>
      <c r="J9" s="15">
        <v>46073.0</v>
      </c>
      <c r="K9" s="12" t="s">
        <v>20</v>
      </c>
      <c r="L9" s="17"/>
      <c r="M9" s="13" t="str">
        <f t="shared" si="1"/>
        <v>mobile</v>
      </c>
      <c r="N9" s="13" t="str">
        <f t="shared" si="2"/>
        <v>mobile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6" t="s">
        <v>38</v>
      </c>
      <c r="C10" s="7" t="s">
        <v>39</v>
      </c>
      <c r="D10" s="8" t="s">
        <v>821</v>
      </c>
      <c r="E10" s="9" t="s">
        <v>822</v>
      </c>
      <c r="F10" s="10" t="s">
        <v>823</v>
      </c>
      <c r="G10" s="10" t="s">
        <v>824</v>
      </c>
      <c r="H10" s="10" t="s">
        <v>32</v>
      </c>
      <c r="I10" s="19">
        <v>46057.0</v>
      </c>
      <c r="J10" s="11">
        <v>46058.0</v>
      </c>
      <c r="K10" s="10" t="s">
        <v>20</v>
      </c>
      <c r="L10" s="17"/>
      <c r="M10" s="13" t="str">
        <f t="shared" si="1"/>
        <v>fissa </v>
      </c>
      <c r="N10" s="13" t="str">
        <f t="shared" si="2"/>
        <v>fissa 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6" t="s">
        <v>26</v>
      </c>
      <c r="C11" s="7" t="s">
        <v>27</v>
      </c>
      <c r="D11" s="8" t="s">
        <v>825</v>
      </c>
      <c r="E11" s="9" t="s">
        <v>826</v>
      </c>
      <c r="F11" s="10" t="s">
        <v>827</v>
      </c>
      <c r="G11" s="10" t="s">
        <v>828</v>
      </c>
      <c r="H11" s="10" t="s">
        <v>25</v>
      </c>
      <c r="I11" s="11">
        <v>46057.0</v>
      </c>
      <c r="J11" s="11">
        <v>46057.0</v>
      </c>
      <c r="K11" s="10" t="s">
        <v>20</v>
      </c>
      <c r="L11" s="17"/>
      <c r="M11" s="13" t="str">
        <f t="shared" si="1"/>
        <v>mobile</v>
      </c>
      <c r="N11" s="13" t="str">
        <f t="shared" si="2"/>
        <v>mobile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6" t="s">
        <v>13</v>
      </c>
      <c r="C12" s="7" t="s">
        <v>14</v>
      </c>
      <c r="D12" s="16" t="s">
        <v>829</v>
      </c>
      <c r="E12" s="9" t="s">
        <v>830</v>
      </c>
      <c r="F12" s="10" t="s">
        <v>831</v>
      </c>
      <c r="G12" s="10" t="s">
        <v>832</v>
      </c>
      <c r="H12" s="10" t="s">
        <v>25</v>
      </c>
      <c r="I12" s="11">
        <v>46056.0</v>
      </c>
      <c r="J12" s="11">
        <v>46056.0</v>
      </c>
      <c r="K12" s="10" t="s">
        <v>20</v>
      </c>
      <c r="L12" s="17"/>
      <c r="M12" s="13" t="str">
        <f t="shared" si="1"/>
        <v>mobile</v>
      </c>
      <c r="N12" s="13" t="str">
        <f t="shared" si="2"/>
        <v>mobile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" t="s">
        <v>207</v>
      </c>
      <c r="C13" s="7" t="s">
        <v>208</v>
      </c>
      <c r="D13" s="14" t="s">
        <v>833</v>
      </c>
      <c r="E13" s="9" t="s">
        <v>834</v>
      </c>
      <c r="F13" s="10" t="s">
        <v>835</v>
      </c>
      <c r="G13" s="10" t="s">
        <v>836</v>
      </c>
      <c r="H13" s="10" t="s">
        <v>66</v>
      </c>
      <c r="I13" s="11">
        <v>46058.0</v>
      </c>
      <c r="J13" s="11">
        <v>46059.0</v>
      </c>
      <c r="K13" s="10" t="s">
        <v>20</v>
      </c>
      <c r="L13" s="17"/>
      <c r="M13" s="13" t="str">
        <f t="shared" si="1"/>
        <v>mobile</v>
      </c>
      <c r="N13" s="13" t="str">
        <f t="shared" si="2"/>
        <v>mobile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" t="s">
        <v>207</v>
      </c>
      <c r="C14" s="7" t="s">
        <v>208</v>
      </c>
      <c r="D14" s="21"/>
      <c r="E14" s="9" t="s">
        <v>834</v>
      </c>
      <c r="F14" s="10" t="s">
        <v>835</v>
      </c>
      <c r="G14" s="10" t="s">
        <v>837</v>
      </c>
      <c r="H14" s="10" t="s">
        <v>68</v>
      </c>
      <c r="I14" s="11">
        <v>46058.0</v>
      </c>
      <c r="J14" s="11">
        <v>46059.0</v>
      </c>
      <c r="K14" s="10" t="s">
        <v>20</v>
      </c>
      <c r="L14" s="17"/>
      <c r="M14" s="13" t="str">
        <f t="shared" si="1"/>
        <v>fissa </v>
      </c>
      <c r="N14" s="13" t="str">
        <f t="shared" si="2"/>
        <v>fissa 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" t="s">
        <v>201</v>
      </c>
      <c r="C15" s="7" t="s">
        <v>202</v>
      </c>
      <c r="D15" s="8" t="s">
        <v>838</v>
      </c>
      <c r="E15" s="9" t="s">
        <v>839</v>
      </c>
      <c r="F15" s="10" t="s">
        <v>840</v>
      </c>
      <c r="G15" s="10" t="s">
        <v>841</v>
      </c>
      <c r="H15" s="10" t="s">
        <v>37</v>
      </c>
      <c r="I15" s="11">
        <v>46058.0</v>
      </c>
      <c r="J15" s="11">
        <v>46058.0</v>
      </c>
      <c r="K15" s="10" t="s">
        <v>20</v>
      </c>
      <c r="L15" s="17"/>
      <c r="M15" s="13" t="str">
        <f t="shared" si="1"/>
        <v>mobile</v>
      </c>
      <c r="N15" s="13" t="str">
        <f t="shared" si="2"/>
        <v>mobile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" t="s">
        <v>55</v>
      </c>
      <c r="C16" s="7" t="s">
        <v>56</v>
      </c>
      <c r="D16" s="14" t="s">
        <v>842</v>
      </c>
      <c r="E16" s="9" t="s">
        <v>843</v>
      </c>
      <c r="F16" s="10" t="s">
        <v>844</v>
      </c>
      <c r="G16" s="10" t="s">
        <v>845</v>
      </c>
      <c r="H16" s="10" t="s">
        <v>37</v>
      </c>
      <c r="I16" s="11">
        <v>46059.0</v>
      </c>
      <c r="J16" s="11">
        <v>46059.0</v>
      </c>
      <c r="K16" s="10" t="s">
        <v>20</v>
      </c>
      <c r="L16" s="17"/>
      <c r="M16" s="13" t="str">
        <f t="shared" si="1"/>
        <v>mobile</v>
      </c>
      <c r="N16" s="13" t="str">
        <f t="shared" si="2"/>
        <v>mobile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" t="s">
        <v>86</v>
      </c>
      <c r="C17" s="7" t="s">
        <v>87</v>
      </c>
      <c r="D17" s="14" t="s">
        <v>846</v>
      </c>
      <c r="E17" s="9" t="s">
        <v>847</v>
      </c>
      <c r="F17" s="10" t="s">
        <v>848</v>
      </c>
      <c r="G17" s="10" t="s">
        <v>849</v>
      </c>
      <c r="H17" s="10" t="s">
        <v>25</v>
      </c>
      <c r="I17" s="11">
        <v>46061.0</v>
      </c>
      <c r="J17" s="11">
        <v>46062.0</v>
      </c>
      <c r="K17" s="10" t="s">
        <v>20</v>
      </c>
      <c r="L17" s="17"/>
      <c r="M17" s="13" t="str">
        <f t="shared" si="1"/>
        <v>mobile</v>
      </c>
      <c r="N17" s="13" t="str">
        <f t="shared" si="2"/>
        <v>mobile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6" t="s">
        <v>86</v>
      </c>
      <c r="C18" s="7" t="s">
        <v>87</v>
      </c>
      <c r="D18" s="14"/>
      <c r="E18" s="9" t="s">
        <v>847</v>
      </c>
      <c r="F18" s="10" t="s">
        <v>848</v>
      </c>
      <c r="G18" s="10" t="s">
        <v>850</v>
      </c>
      <c r="H18" s="10" t="s">
        <v>25</v>
      </c>
      <c r="I18" s="11">
        <v>46061.0</v>
      </c>
      <c r="J18" s="11">
        <v>46062.0</v>
      </c>
      <c r="K18" s="10" t="s">
        <v>20</v>
      </c>
      <c r="L18" s="17"/>
      <c r="M18" s="13" t="str">
        <f t="shared" si="1"/>
        <v>mobile</v>
      </c>
      <c r="N18" s="13" t="str">
        <f t="shared" si="2"/>
        <v>mobile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6" t="s">
        <v>55</v>
      </c>
      <c r="C19" s="7" t="s">
        <v>56</v>
      </c>
      <c r="D19" s="8" t="s">
        <v>851</v>
      </c>
      <c r="E19" s="9" t="s">
        <v>852</v>
      </c>
      <c r="F19" s="10" t="s">
        <v>853</v>
      </c>
      <c r="G19" s="10" t="s">
        <v>854</v>
      </c>
      <c r="H19" s="10" t="s">
        <v>37</v>
      </c>
      <c r="I19" s="11">
        <v>46062.0</v>
      </c>
      <c r="J19" s="11">
        <v>46062.0</v>
      </c>
      <c r="K19" s="10" t="s">
        <v>20</v>
      </c>
      <c r="L19" s="17"/>
      <c r="M19" s="13" t="str">
        <f t="shared" si="1"/>
        <v>mobile</v>
      </c>
      <c r="N19" s="13" t="str">
        <f t="shared" si="2"/>
        <v>mobile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6" t="s">
        <v>26</v>
      </c>
      <c r="C20" s="7" t="s">
        <v>27</v>
      </c>
      <c r="D20" s="14" t="s">
        <v>855</v>
      </c>
      <c r="E20" s="9" t="s">
        <v>856</v>
      </c>
      <c r="F20" s="10" t="s">
        <v>857</v>
      </c>
      <c r="G20" s="10" t="s">
        <v>858</v>
      </c>
      <c r="H20" s="10" t="s">
        <v>32</v>
      </c>
      <c r="I20" s="11">
        <v>46060.0</v>
      </c>
      <c r="J20" s="11">
        <v>46062.0</v>
      </c>
      <c r="K20" s="10" t="s">
        <v>20</v>
      </c>
      <c r="L20" s="17"/>
      <c r="M20" s="13" t="str">
        <f t="shared" si="1"/>
        <v>fissa </v>
      </c>
      <c r="N20" s="13" t="str">
        <f t="shared" si="2"/>
        <v>fissa 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6" t="s">
        <v>26</v>
      </c>
      <c r="C21" s="7" t="s">
        <v>27</v>
      </c>
      <c r="D21" s="14" t="s">
        <v>859</v>
      </c>
      <c r="E21" s="9" t="s">
        <v>860</v>
      </c>
      <c r="F21" s="10" t="s">
        <v>861</v>
      </c>
      <c r="G21" s="10" t="s">
        <v>862</v>
      </c>
      <c r="H21" s="10" t="s">
        <v>37</v>
      </c>
      <c r="I21" s="11">
        <v>46063.0</v>
      </c>
      <c r="J21" s="11">
        <v>46063.0</v>
      </c>
      <c r="K21" s="10" t="s">
        <v>20</v>
      </c>
      <c r="L21" s="17"/>
      <c r="M21" s="13" t="str">
        <f t="shared" si="1"/>
        <v>mobile</v>
      </c>
      <c r="N21" s="13" t="str">
        <f t="shared" si="2"/>
        <v>mobile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" t="s">
        <v>207</v>
      </c>
      <c r="C22" s="7" t="s">
        <v>208</v>
      </c>
      <c r="D22" s="8" t="s">
        <v>863</v>
      </c>
      <c r="E22" s="9" t="s">
        <v>864</v>
      </c>
      <c r="F22" s="10" t="s">
        <v>865</v>
      </c>
      <c r="G22" s="10" t="s">
        <v>866</v>
      </c>
      <c r="H22" s="10" t="s">
        <v>44</v>
      </c>
      <c r="I22" s="11">
        <v>46063.0</v>
      </c>
      <c r="J22" s="11">
        <v>46073.0</v>
      </c>
      <c r="K22" s="10" t="s">
        <v>20</v>
      </c>
      <c r="L22" s="17"/>
      <c r="M22" s="13" t="str">
        <f t="shared" si="1"/>
        <v>fissa </v>
      </c>
      <c r="N22" s="13" t="str">
        <f t="shared" si="2"/>
        <v>fissa 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6" t="s">
        <v>38</v>
      </c>
      <c r="C23" s="7" t="s">
        <v>39</v>
      </c>
      <c r="D23" s="14" t="s">
        <v>867</v>
      </c>
      <c r="E23" s="9" t="s">
        <v>868</v>
      </c>
      <c r="F23" s="10" t="s">
        <v>869</v>
      </c>
      <c r="G23" s="10" t="s">
        <v>870</v>
      </c>
      <c r="H23" s="10" t="s">
        <v>37</v>
      </c>
      <c r="I23" s="19">
        <v>46061.0</v>
      </c>
      <c r="J23" s="11">
        <v>46062.0</v>
      </c>
      <c r="K23" s="10" t="s">
        <v>20</v>
      </c>
      <c r="L23" s="17"/>
      <c r="M23" s="13" t="str">
        <f t="shared" si="1"/>
        <v>mobile</v>
      </c>
      <c r="N23" s="13" t="str">
        <f t="shared" si="2"/>
        <v>mobile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6" t="s">
        <v>38</v>
      </c>
      <c r="C24" s="7" t="s">
        <v>39</v>
      </c>
      <c r="D24" s="8"/>
      <c r="E24" s="9" t="s">
        <v>868</v>
      </c>
      <c r="F24" s="10" t="s">
        <v>869</v>
      </c>
      <c r="G24" s="10" t="s">
        <v>871</v>
      </c>
      <c r="H24" s="10" t="s">
        <v>37</v>
      </c>
      <c r="I24" s="11">
        <v>46061.0</v>
      </c>
      <c r="J24" s="11">
        <v>46062.0</v>
      </c>
      <c r="K24" s="10" t="s">
        <v>20</v>
      </c>
      <c r="L24" s="17"/>
      <c r="M24" s="13" t="str">
        <f t="shared" si="1"/>
        <v>mobile</v>
      </c>
      <c r="N24" s="13" t="str">
        <f t="shared" si="2"/>
        <v>mobile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6" t="s">
        <v>38</v>
      </c>
      <c r="C25" s="7" t="s">
        <v>39</v>
      </c>
      <c r="D25" s="14"/>
      <c r="E25" s="9" t="s">
        <v>868</v>
      </c>
      <c r="F25" s="10" t="s">
        <v>869</v>
      </c>
      <c r="G25" s="10" t="s">
        <v>872</v>
      </c>
      <c r="H25" s="10" t="s">
        <v>37</v>
      </c>
      <c r="I25" s="11">
        <v>46061.0</v>
      </c>
      <c r="J25" s="11">
        <v>46062.0</v>
      </c>
      <c r="K25" s="10" t="s">
        <v>20</v>
      </c>
      <c r="L25" s="17"/>
      <c r="M25" s="13" t="str">
        <f t="shared" si="1"/>
        <v>mobile</v>
      </c>
      <c r="N25" s="13" t="str">
        <f t="shared" si="2"/>
        <v>mobile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6" t="s">
        <v>38</v>
      </c>
      <c r="C26" s="7" t="s">
        <v>39</v>
      </c>
      <c r="D26" s="14"/>
      <c r="E26" s="9" t="s">
        <v>868</v>
      </c>
      <c r="F26" s="10" t="s">
        <v>869</v>
      </c>
      <c r="G26" s="10" t="s">
        <v>873</v>
      </c>
      <c r="H26" s="10" t="s">
        <v>44</v>
      </c>
      <c r="I26" s="11">
        <v>46061.0</v>
      </c>
      <c r="J26" s="15">
        <v>46062.0</v>
      </c>
      <c r="K26" s="12" t="s">
        <v>20</v>
      </c>
      <c r="L26" s="17"/>
      <c r="M26" s="13" t="str">
        <f t="shared" si="1"/>
        <v>fissa </v>
      </c>
      <c r="N26" s="13" t="str">
        <f t="shared" si="2"/>
        <v>fissa 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6" t="s">
        <v>116</v>
      </c>
      <c r="C27" s="7" t="s">
        <v>202</v>
      </c>
      <c r="D27" s="8" t="s">
        <v>874</v>
      </c>
      <c r="E27" s="9" t="s">
        <v>875</v>
      </c>
      <c r="F27" s="10" t="s">
        <v>876</v>
      </c>
      <c r="G27" s="10" t="s">
        <v>877</v>
      </c>
      <c r="H27" s="10" t="s">
        <v>44</v>
      </c>
      <c r="I27" s="19">
        <v>46062.0</v>
      </c>
      <c r="J27" s="11">
        <v>46063.0</v>
      </c>
      <c r="K27" s="10" t="s">
        <v>20</v>
      </c>
      <c r="L27" s="17"/>
      <c r="M27" s="13" t="str">
        <f t="shared" si="1"/>
        <v>fissa </v>
      </c>
      <c r="N27" s="13" t="str">
        <f t="shared" si="2"/>
        <v>fissa 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6" t="s">
        <v>116</v>
      </c>
      <c r="C28" s="7" t="s">
        <v>202</v>
      </c>
      <c r="D28" s="8" t="s">
        <v>878</v>
      </c>
      <c r="E28" s="9" t="s">
        <v>875</v>
      </c>
      <c r="F28" s="10" t="s">
        <v>876</v>
      </c>
      <c r="G28" s="10" t="s">
        <v>879</v>
      </c>
      <c r="H28" s="10" t="s">
        <v>44</v>
      </c>
      <c r="I28" s="19">
        <v>46062.0</v>
      </c>
      <c r="J28" s="15">
        <v>46063.0</v>
      </c>
      <c r="K28" s="12" t="s">
        <v>20</v>
      </c>
      <c r="L28" s="17"/>
      <c r="M28" s="13" t="str">
        <f t="shared" si="1"/>
        <v>fissa </v>
      </c>
      <c r="N28" s="13" t="str">
        <f t="shared" si="2"/>
        <v>fissa 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6" t="s">
        <v>880</v>
      </c>
      <c r="C29" s="7" t="s">
        <v>881</v>
      </c>
      <c r="D29" s="8" t="s">
        <v>882</v>
      </c>
      <c r="E29" s="9" t="s">
        <v>883</v>
      </c>
      <c r="F29" s="10" t="s">
        <v>884</v>
      </c>
      <c r="G29" s="10" t="s">
        <v>885</v>
      </c>
      <c r="H29" s="10" t="s">
        <v>37</v>
      </c>
      <c r="I29" s="45">
        <v>46064.0</v>
      </c>
      <c r="J29" s="11">
        <v>46064.0</v>
      </c>
      <c r="K29" s="10" t="s">
        <v>20</v>
      </c>
      <c r="L29" s="17"/>
      <c r="M29" s="13" t="str">
        <f t="shared" si="1"/>
        <v>mobile</v>
      </c>
      <c r="N29" s="13" t="str">
        <f t="shared" si="2"/>
        <v>mobile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6" t="s">
        <v>26</v>
      </c>
      <c r="C30" s="7" t="s">
        <v>27</v>
      </c>
      <c r="D30" s="14" t="s">
        <v>886</v>
      </c>
      <c r="E30" s="9" t="s">
        <v>93</v>
      </c>
      <c r="F30" s="10" t="s">
        <v>887</v>
      </c>
      <c r="G30" s="10" t="s">
        <v>888</v>
      </c>
      <c r="H30" s="10" t="s">
        <v>44</v>
      </c>
      <c r="I30" s="19">
        <v>46066.0</v>
      </c>
      <c r="J30" s="11">
        <v>46070.0</v>
      </c>
      <c r="K30" s="10" t="s">
        <v>20</v>
      </c>
      <c r="L30" s="17"/>
      <c r="M30" s="13" t="str">
        <f t="shared" si="1"/>
        <v>fissa </v>
      </c>
      <c r="N30" s="13" t="str">
        <f t="shared" si="2"/>
        <v>fissa 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6" t="s">
        <v>26</v>
      </c>
      <c r="C31" s="7" t="s">
        <v>27</v>
      </c>
      <c r="D31" s="8" t="s">
        <v>889</v>
      </c>
      <c r="E31" s="9" t="s">
        <v>519</v>
      </c>
      <c r="F31" s="10" t="s">
        <v>520</v>
      </c>
      <c r="G31" s="10" t="s">
        <v>890</v>
      </c>
      <c r="H31" s="10" t="s">
        <v>37</v>
      </c>
      <c r="I31" s="11">
        <v>46068.0</v>
      </c>
      <c r="J31" s="15">
        <v>46070.0</v>
      </c>
      <c r="K31" s="12" t="s">
        <v>20</v>
      </c>
      <c r="L31" s="17"/>
      <c r="M31" s="13" t="str">
        <f t="shared" si="1"/>
        <v>mobile</v>
      </c>
      <c r="N31" s="13" t="str">
        <f t="shared" si="2"/>
        <v>mobile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6" t="s">
        <v>26</v>
      </c>
      <c r="C32" s="7" t="s">
        <v>27</v>
      </c>
      <c r="D32" s="14"/>
      <c r="E32" s="9" t="s">
        <v>519</v>
      </c>
      <c r="F32" s="10" t="s">
        <v>520</v>
      </c>
      <c r="G32" s="10" t="s">
        <v>891</v>
      </c>
      <c r="H32" s="10" t="s">
        <v>44</v>
      </c>
      <c r="I32" s="11">
        <v>46068.0</v>
      </c>
      <c r="J32" s="11">
        <v>46070.0</v>
      </c>
      <c r="K32" s="10" t="s">
        <v>20</v>
      </c>
      <c r="L32" s="17"/>
      <c r="M32" s="13" t="str">
        <f t="shared" si="1"/>
        <v>fissa </v>
      </c>
      <c r="N32" s="13" t="str">
        <f t="shared" si="2"/>
        <v>fissa 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6" t="s">
        <v>201</v>
      </c>
      <c r="C33" s="7" t="s">
        <v>202</v>
      </c>
      <c r="D33" s="8" t="s">
        <v>892</v>
      </c>
      <c r="E33" s="9" t="s">
        <v>893</v>
      </c>
      <c r="F33" s="10" t="s">
        <v>894</v>
      </c>
      <c r="G33" s="10" t="s">
        <v>895</v>
      </c>
      <c r="H33" s="10" t="s">
        <v>37</v>
      </c>
      <c r="I33" s="11">
        <v>46065.0</v>
      </c>
      <c r="J33" s="15">
        <v>46065.0</v>
      </c>
      <c r="K33" s="12" t="s">
        <v>20</v>
      </c>
      <c r="L33" s="17"/>
      <c r="M33" s="13" t="str">
        <f t="shared" si="1"/>
        <v>mobile</v>
      </c>
      <c r="N33" s="13" t="str">
        <f t="shared" si="2"/>
        <v>mobile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6" t="s">
        <v>201</v>
      </c>
      <c r="C34" s="7" t="s">
        <v>202</v>
      </c>
      <c r="D34" s="14" t="s">
        <v>896</v>
      </c>
      <c r="E34" s="9" t="s">
        <v>897</v>
      </c>
      <c r="F34" s="10" t="s">
        <v>898</v>
      </c>
      <c r="G34" s="10" t="s">
        <v>899</v>
      </c>
      <c r="H34" s="10" t="s">
        <v>537</v>
      </c>
      <c r="I34" s="11">
        <v>46067.0</v>
      </c>
      <c r="J34" s="15">
        <v>46069.0</v>
      </c>
      <c r="K34" s="12" t="s">
        <v>20</v>
      </c>
      <c r="L34" s="17"/>
      <c r="M34" s="13" t="str">
        <f t="shared" si="1"/>
        <v>fissa </v>
      </c>
      <c r="N34" s="13" t="str">
        <f t="shared" si="2"/>
        <v>fissa 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6" t="s">
        <v>201</v>
      </c>
      <c r="C35" s="7" t="s">
        <v>202</v>
      </c>
      <c r="D35" s="8"/>
      <c r="E35" s="9" t="s">
        <v>897</v>
      </c>
      <c r="F35" s="10" t="s">
        <v>898</v>
      </c>
      <c r="G35" s="10" t="s">
        <v>900</v>
      </c>
      <c r="H35" s="10" t="s">
        <v>37</v>
      </c>
      <c r="I35" s="11">
        <v>46067.0</v>
      </c>
      <c r="J35" s="11">
        <v>46069.0</v>
      </c>
      <c r="K35" s="10" t="s">
        <v>20</v>
      </c>
      <c r="L35" s="17"/>
      <c r="M35" s="13" t="str">
        <f t="shared" si="1"/>
        <v>mobile</v>
      </c>
      <c r="N35" s="13" t="str">
        <f t="shared" si="2"/>
        <v>mobile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6" t="s">
        <v>201</v>
      </c>
      <c r="C36" s="7" t="s">
        <v>202</v>
      </c>
      <c r="D36" s="8"/>
      <c r="E36" s="9" t="s">
        <v>897</v>
      </c>
      <c r="F36" s="10" t="s">
        <v>898</v>
      </c>
      <c r="G36" s="10" t="s">
        <v>901</v>
      </c>
      <c r="H36" s="10" t="s">
        <v>37</v>
      </c>
      <c r="I36" s="11">
        <v>46067.0</v>
      </c>
      <c r="J36" s="11">
        <v>46069.0</v>
      </c>
      <c r="K36" s="10" t="s">
        <v>20</v>
      </c>
      <c r="L36" s="17"/>
      <c r="M36" s="13" t="str">
        <f t="shared" si="1"/>
        <v>mobile</v>
      </c>
      <c r="N36" s="13" t="str">
        <f t="shared" si="2"/>
        <v>mobile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6" t="s">
        <v>13</v>
      </c>
      <c r="C37" s="7" t="s">
        <v>14</v>
      </c>
      <c r="D37" s="8" t="s">
        <v>902</v>
      </c>
      <c r="E37" s="9" t="s">
        <v>903</v>
      </c>
      <c r="F37" s="10" t="s">
        <v>904</v>
      </c>
      <c r="G37" s="10" t="s">
        <v>905</v>
      </c>
      <c r="H37" s="10" t="s">
        <v>37</v>
      </c>
      <c r="I37" s="11">
        <v>46067.0</v>
      </c>
      <c r="J37" s="11">
        <v>46067.0</v>
      </c>
      <c r="K37" s="10" t="s">
        <v>20</v>
      </c>
      <c r="L37" s="17"/>
      <c r="M37" s="13" t="str">
        <f t="shared" si="1"/>
        <v>mobile</v>
      </c>
      <c r="N37" s="13" t="str">
        <f t="shared" si="2"/>
        <v>mobile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6" t="s">
        <v>13</v>
      </c>
      <c r="C38" s="7" t="s">
        <v>14</v>
      </c>
      <c r="D38" s="14"/>
      <c r="E38" s="9" t="s">
        <v>903</v>
      </c>
      <c r="F38" s="10" t="s">
        <v>904</v>
      </c>
      <c r="G38" s="10" t="s">
        <v>906</v>
      </c>
      <c r="H38" s="10" t="s">
        <v>37</v>
      </c>
      <c r="I38" s="19">
        <v>46067.0</v>
      </c>
      <c r="J38" s="11">
        <v>46067.0</v>
      </c>
      <c r="K38" s="10" t="s">
        <v>20</v>
      </c>
      <c r="L38" s="17"/>
      <c r="M38" s="13" t="str">
        <f t="shared" si="1"/>
        <v>mobile</v>
      </c>
      <c r="N38" s="13" t="str">
        <f t="shared" si="2"/>
        <v>mobile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6" t="s">
        <v>38</v>
      </c>
      <c r="C39" s="7" t="s">
        <v>39</v>
      </c>
      <c r="D39" s="8" t="s">
        <v>907</v>
      </c>
      <c r="E39" s="9" t="s">
        <v>908</v>
      </c>
      <c r="F39" s="10" t="s">
        <v>909</v>
      </c>
      <c r="G39" s="10" t="s">
        <v>910</v>
      </c>
      <c r="H39" s="10" t="s">
        <v>37</v>
      </c>
      <c r="I39" s="11">
        <v>46065.0</v>
      </c>
      <c r="J39" s="11">
        <v>46066.0</v>
      </c>
      <c r="K39" s="10" t="s">
        <v>20</v>
      </c>
      <c r="L39" s="17"/>
      <c r="M39" s="13" t="str">
        <f t="shared" si="1"/>
        <v>mobile</v>
      </c>
      <c r="N39" s="13" t="str">
        <f t="shared" si="2"/>
        <v>mobile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6" t="s">
        <v>38</v>
      </c>
      <c r="C40" s="7" t="s">
        <v>39</v>
      </c>
      <c r="D40" s="8"/>
      <c r="E40" s="9" t="s">
        <v>908</v>
      </c>
      <c r="F40" s="10" t="s">
        <v>909</v>
      </c>
      <c r="G40" s="10" t="s">
        <v>911</v>
      </c>
      <c r="H40" s="10" t="s">
        <v>32</v>
      </c>
      <c r="I40" s="11">
        <v>46065.0</v>
      </c>
      <c r="J40" s="11">
        <v>46066.0</v>
      </c>
      <c r="K40" s="10" t="s">
        <v>20</v>
      </c>
      <c r="L40" s="17"/>
      <c r="M40" s="13" t="str">
        <f t="shared" si="1"/>
        <v>fissa </v>
      </c>
      <c r="N40" s="13" t="str">
        <f t="shared" si="2"/>
        <v>fissa 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6" t="s">
        <v>38</v>
      </c>
      <c r="C41" s="7" t="s">
        <v>39</v>
      </c>
      <c r="D41" s="8" t="s">
        <v>912</v>
      </c>
      <c r="E41" s="9" t="s">
        <v>913</v>
      </c>
      <c r="F41" s="10" t="s">
        <v>914</v>
      </c>
      <c r="G41" s="10" t="s">
        <v>915</v>
      </c>
      <c r="H41" s="10" t="s">
        <v>37</v>
      </c>
      <c r="I41" s="19">
        <v>46066.0</v>
      </c>
      <c r="J41" s="11">
        <v>46066.0</v>
      </c>
      <c r="K41" s="10" t="s">
        <v>20</v>
      </c>
      <c r="L41" s="17"/>
      <c r="M41" s="13" t="str">
        <f t="shared" si="1"/>
        <v>mobile</v>
      </c>
      <c r="N41" s="13" t="str">
        <f t="shared" si="2"/>
        <v>mobile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6" t="s">
        <v>38</v>
      </c>
      <c r="C42" s="7" t="s">
        <v>39</v>
      </c>
      <c r="D42" s="18"/>
      <c r="E42" s="9" t="s">
        <v>913</v>
      </c>
      <c r="F42" s="10" t="s">
        <v>914</v>
      </c>
      <c r="G42" s="10" t="s">
        <v>916</v>
      </c>
      <c r="H42" s="10" t="s">
        <v>37</v>
      </c>
      <c r="I42" s="11">
        <v>46066.0</v>
      </c>
      <c r="J42" s="11">
        <v>46066.0</v>
      </c>
      <c r="K42" s="10" t="s">
        <v>20</v>
      </c>
      <c r="L42" s="17"/>
      <c r="M42" s="13" t="str">
        <f t="shared" si="1"/>
        <v>mobile</v>
      </c>
      <c r="N42" s="13" t="str">
        <f t="shared" si="2"/>
        <v>mobile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6" t="s">
        <v>38</v>
      </c>
      <c r="C43" s="7" t="s">
        <v>39</v>
      </c>
      <c r="D43" s="14" t="s">
        <v>917</v>
      </c>
      <c r="E43" s="9" t="s">
        <v>913</v>
      </c>
      <c r="F43" s="10" t="s">
        <v>914</v>
      </c>
      <c r="G43" s="10" t="s">
        <v>918</v>
      </c>
      <c r="H43" s="10" t="s">
        <v>25</v>
      </c>
      <c r="I43" s="11">
        <v>46066.0</v>
      </c>
      <c r="J43" s="11">
        <v>46066.0</v>
      </c>
      <c r="K43" s="10" t="s">
        <v>20</v>
      </c>
      <c r="L43" s="17"/>
      <c r="M43" s="13" t="str">
        <f t="shared" si="1"/>
        <v>mobile</v>
      </c>
      <c r="N43" s="13" t="str">
        <f t="shared" si="2"/>
        <v>mobile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6" t="s">
        <v>195</v>
      </c>
      <c r="C44" s="7" t="s">
        <v>333</v>
      </c>
      <c r="D44" s="8" t="s">
        <v>919</v>
      </c>
      <c r="E44" s="9" t="s">
        <v>920</v>
      </c>
      <c r="F44" s="10" t="s">
        <v>921</v>
      </c>
      <c r="G44" s="10" t="s">
        <v>922</v>
      </c>
      <c r="H44" s="10" t="s">
        <v>68</v>
      </c>
      <c r="I44" s="11">
        <v>46066.0</v>
      </c>
      <c r="J44" s="11">
        <v>46067.0</v>
      </c>
      <c r="K44" s="10" t="s">
        <v>20</v>
      </c>
      <c r="L44" s="17"/>
      <c r="M44" s="13" t="str">
        <f t="shared" si="1"/>
        <v>fissa </v>
      </c>
      <c r="N44" s="13" t="str">
        <f t="shared" si="2"/>
        <v>fissa 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6" t="s">
        <v>55</v>
      </c>
      <c r="C45" s="7" t="s">
        <v>87</v>
      </c>
      <c r="D45" s="14" t="s">
        <v>923</v>
      </c>
      <c r="E45" s="9" t="s">
        <v>924</v>
      </c>
      <c r="F45" s="10" t="s">
        <v>925</v>
      </c>
      <c r="G45" s="10" t="s">
        <v>926</v>
      </c>
      <c r="H45" s="10" t="s">
        <v>37</v>
      </c>
      <c r="I45" s="11">
        <v>46073.0</v>
      </c>
      <c r="J45" s="11">
        <v>46074.0</v>
      </c>
      <c r="K45" s="10" t="s">
        <v>20</v>
      </c>
      <c r="L45" s="17"/>
      <c r="M45" s="13" t="str">
        <f t="shared" si="1"/>
        <v>mobile</v>
      </c>
      <c r="N45" s="13" t="str">
        <f t="shared" si="2"/>
        <v>mobile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" t="s">
        <v>55</v>
      </c>
      <c r="C46" s="7" t="s">
        <v>87</v>
      </c>
      <c r="D46" s="18"/>
      <c r="E46" s="9" t="s">
        <v>924</v>
      </c>
      <c r="F46" s="10" t="s">
        <v>925</v>
      </c>
      <c r="G46" s="10" t="s">
        <v>927</v>
      </c>
      <c r="H46" s="10" t="s">
        <v>37</v>
      </c>
      <c r="I46" s="19">
        <v>46073.0</v>
      </c>
      <c r="J46" s="11">
        <v>46074.0</v>
      </c>
      <c r="K46" s="10" t="s">
        <v>20</v>
      </c>
      <c r="L46" s="17"/>
      <c r="M46" s="13" t="str">
        <f t="shared" si="1"/>
        <v>mobile</v>
      </c>
      <c r="N46" s="13" t="str">
        <f t="shared" si="2"/>
        <v>mobile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6" t="s">
        <v>13</v>
      </c>
      <c r="C47" s="7" t="s">
        <v>14</v>
      </c>
      <c r="D47" s="14" t="s">
        <v>928</v>
      </c>
      <c r="E47" s="9" t="s">
        <v>929</v>
      </c>
      <c r="F47" s="10" t="s">
        <v>930</v>
      </c>
      <c r="G47" s="10" t="s">
        <v>931</v>
      </c>
      <c r="H47" s="10" t="s">
        <v>32</v>
      </c>
      <c r="I47" s="11">
        <v>46069.0</v>
      </c>
      <c r="J47" s="11">
        <v>46070.0</v>
      </c>
      <c r="K47" s="10" t="s">
        <v>20</v>
      </c>
      <c r="L47" s="17"/>
      <c r="M47" s="13" t="str">
        <f t="shared" si="1"/>
        <v>fissa </v>
      </c>
      <c r="N47" s="13" t="str">
        <f t="shared" si="2"/>
        <v>fissa 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6" t="s">
        <v>201</v>
      </c>
      <c r="C48" s="7" t="s">
        <v>202</v>
      </c>
      <c r="D48" s="14" t="s">
        <v>932</v>
      </c>
      <c r="E48" s="9" t="s">
        <v>933</v>
      </c>
      <c r="F48" s="10" t="s">
        <v>934</v>
      </c>
      <c r="G48" s="10" t="s">
        <v>935</v>
      </c>
      <c r="H48" s="10" t="s">
        <v>37</v>
      </c>
      <c r="I48" s="11">
        <v>46072.0</v>
      </c>
      <c r="J48" s="11">
        <v>46072.0</v>
      </c>
      <c r="K48" s="10" t="s">
        <v>20</v>
      </c>
      <c r="L48" s="17"/>
      <c r="M48" s="13" t="str">
        <f t="shared" si="1"/>
        <v>mobile</v>
      </c>
      <c r="N48" s="13" t="str">
        <f t="shared" si="2"/>
        <v>mobile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6" t="s">
        <v>127</v>
      </c>
      <c r="C49" s="7" t="s">
        <v>76</v>
      </c>
      <c r="D49" s="14" t="s">
        <v>936</v>
      </c>
      <c r="E49" s="9" t="s">
        <v>937</v>
      </c>
      <c r="F49" s="10" t="s">
        <v>938</v>
      </c>
      <c r="G49" s="10" t="s">
        <v>939</v>
      </c>
      <c r="H49" s="10" t="s">
        <v>44</v>
      </c>
      <c r="I49" s="11">
        <v>46071.0</v>
      </c>
      <c r="J49" s="11">
        <v>46072.0</v>
      </c>
      <c r="K49" s="10" t="s">
        <v>20</v>
      </c>
      <c r="L49" s="17"/>
      <c r="M49" s="13" t="str">
        <f t="shared" si="1"/>
        <v>fissa </v>
      </c>
      <c r="N49" s="13" t="str">
        <f t="shared" si="2"/>
        <v>fissa 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6" t="s">
        <v>127</v>
      </c>
      <c r="C50" s="7" t="s">
        <v>76</v>
      </c>
      <c r="D50" s="8"/>
      <c r="E50" s="9" t="s">
        <v>937</v>
      </c>
      <c r="F50" s="10" t="s">
        <v>938</v>
      </c>
      <c r="G50" s="10" t="s">
        <v>940</v>
      </c>
      <c r="H50" s="10" t="s">
        <v>25</v>
      </c>
      <c r="I50" s="19">
        <v>46071.0</v>
      </c>
      <c r="J50" s="11">
        <v>46072.0</v>
      </c>
      <c r="K50" s="10" t="s">
        <v>20</v>
      </c>
      <c r="L50" s="17"/>
      <c r="M50" s="13" t="str">
        <f t="shared" si="1"/>
        <v>mobile</v>
      </c>
      <c r="N50" s="13" t="str">
        <f t="shared" si="2"/>
        <v>mobile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6" t="s">
        <v>127</v>
      </c>
      <c r="C51" s="7" t="s">
        <v>76</v>
      </c>
      <c r="D51" s="18"/>
      <c r="E51" s="9" t="s">
        <v>937</v>
      </c>
      <c r="F51" s="10" t="s">
        <v>938</v>
      </c>
      <c r="G51" s="10" t="s">
        <v>941</v>
      </c>
      <c r="H51" s="10" t="s">
        <v>25</v>
      </c>
      <c r="I51" s="11">
        <v>46071.0</v>
      </c>
      <c r="J51" s="11">
        <v>46072.0</v>
      </c>
      <c r="K51" s="10" t="s">
        <v>20</v>
      </c>
      <c r="L51" s="17"/>
      <c r="M51" s="13" t="str">
        <f t="shared" si="1"/>
        <v>mobile</v>
      </c>
      <c r="N51" s="13" t="str">
        <f t="shared" si="2"/>
        <v>mobile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6" t="s">
        <v>127</v>
      </c>
      <c r="C52" s="7" t="s">
        <v>76</v>
      </c>
      <c r="D52" s="8" t="s">
        <v>942</v>
      </c>
      <c r="E52" s="9" t="s">
        <v>937</v>
      </c>
      <c r="F52" s="10" t="s">
        <v>938</v>
      </c>
      <c r="G52" s="10" t="s">
        <v>943</v>
      </c>
      <c r="H52" s="10" t="s">
        <v>537</v>
      </c>
      <c r="I52" s="11">
        <v>46071.0</v>
      </c>
      <c r="J52" s="11">
        <v>46076.0</v>
      </c>
      <c r="K52" s="10" t="s">
        <v>20</v>
      </c>
      <c r="L52" s="17"/>
      <c r="M52" s="13" t="str">
        <f t="shared" si="1"/>
        <v>fissa </v>
      </c>
      <c r="N52" s="13" t="str">
        <f t="shared" si="2"/>
        <v>fissa 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6" t="s">
        <v>75</v>
      </c>
      <c r="C53" s="7" t="s">
        <v>76</v>
      </c>
      <c r="D53" s="8" t="s">
        <v>944</v>
      </c>
      <c r="E53" s="9" t="s">
        <v>945</v>
      </c>
      <c r="F53" s="10" t="s">
        <v>946</v>
      </c>
      <c r="G53" s="10" t="s">
        <v>947</v>
      </c>
      <c r="H53" s="10" t="s">
        <v>66</v>
      </c>
      <c r="I53" s="19">
        <v>46078.0</v>
      </c>
      <c r="J53" s="11">
        <v>46081.0</v>
      </c>
      <c r="K53" s="10" t="s">
        <v>20</v>
      </c>
      <c r="L53" s="17"/>
      <c r="M53" s="13" t="str">
        <f t="shared" si="1"/>
        <v>mobile</v>
      </c>
      <c r="N53" s="13" t="str">
        <f t="shared" si="2"/>
        <v>mobile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6" t="s">
        <v>75</v>
      </c>
      <c r="C54" s="7" t="s">
        <v>76</v>
      </c>
      <c r="D54" s="21"/>
      <c r="E54" s="9" t="s">
        <v>945</v>
      </c>
      <c r="F54" s="10" t="s">
        <v>946</v>
      </c>
      <c r="G54" s="10" t="s">
        <v>948</v>
      </c>
      <c r="H54" s="10" t="s">
        <v>68</v>
      </c>
      <c r="I54" s="19">
        <v>46078.0</v>
      </c>
      <c r="J54" s="11">
        <v>46081.0</v>
      </c>
      <c r="K54" s="10" t="s">
        <v>20</v>
      </c>
      <c r="L54" s="17"/>
      <c r="M54" s="13" t="str">
        <f t="shared" si="1"/>
        <v>fissa </v>
      </c>
      <c r="N54" s="13" t="str">
        <f t="shared" si="2"/>
        <v>fissa 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6" t="s">
        <v>38</v>
      </c>
      <c r="C55" s="7" t="s">
        <v>39</v>
      </c>
      <c r="D55" s="8" t="s">
        <v>949</v>
      </c>
      <c r="E55" s="9" t="s">
        <v>950</v>
      </c>
      <c r="F55" s="10" t="s">
        <v>951</v>
      </c>
      <c r="G55" s="10" t="s">
        <v>952</v>
      </c>
      <c r="H55" s="10" t="s">
        <v>44</v>
      </c>
      <c r="I55" s="11">
        <v>46071.0</v>
      </c>
      <c r="J55" s="11">
        <v>46072.0</v>
      </c>
      <c r="K55" s="10" t="s">
        <v>20</v>
      </c>
      <c r="L55" s="17"/>
      <c r="M55" s="13" t="str">
        <f t="shared" si="1"/>
        <v>fissa </v>
      </c>
      <c r="N55" s="13" t="str">
        <f t="shared" si="2"/>
        <v>fissa 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6" t="s">
        <v>38</v>
      </c>
      <c r="C56" s="7" t="s">
        <v>39</v>
      </c>
      <c r="D56" s="8" t="s">
        <v>953</v>
      </c>
      <c r="E56" s="9" t="s">
        <v>326</v>
      </c>
      <c r="F56" s="10" t="s">
        <v>327</v>
      </c>
      <c r="G56" s="10" t="s">
        <v>328</v>
      </c>
      <c r="H56" s="10" t="s">
        <v>54</v>
      </c>
      <c r="I56" s="11">
        <v>46073.0</v>
      </c>
      <c r="J56" s="11"/>
      <c r="K56" s="10" t="s">
        <v>529</v>
      </c>
      <c r="L56" s="17"/>
      <c r="M56" s="13" t="str">
        <f t="shared" si="1"/>
        <v>easy r</v>
      </c>
      <c r="N56" s="13" t="str">
        <f t="shared" si="2"/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6" t="s">
        <v>38</v>
      </c>
      <c r="C57" s="7" t="s">
        <v>39</v>
      </c>
      <c r="D57" s="8" t="s">
        <v>325</v>
      </c>
      <c r="E57" s="9" t="s">
        <v>326</v>
      </c>
      <c r="F57" s="10" t="s">
        <v>327</v>
      </c>
      <c r="G57" s="10" t="s">
        <v>91</v>
      </c>
      <c r="H57" s="10" t="s">
        <v>54</v>
      </c>
      <c r="I57" s="19">
        <v>46073.0</v>
      </c>
      <c r="J57" s="11"/>
      <c r="K57" s="10" t="s">
        <v>529</v>
      </c>
      <c r="L57" s="17"/>
      <c r="M57" s="13" t="str">
        <f t="shared" si="1"/>
        <v>easy r</v>
      </c>
      <c r="N57" s="13" t="str">
        <f t="shared" si="2"/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6" t="s">
        <v>86</v>
      </c>
      <c r="C58" s="7" t="s">
        <v>954</v>
      </c>
      <c r="D58" s="14" t="s">
        <v>955</v>
      </c>
      <c r="E58" s="9" t="s">
        <v>956</v>
      </c>
      <c r="F58" s="10" t="s">
        <v>957</v>
      </c>
      <c r="G58" s="10" t="s">
        <v>958</v>
      </c>
      <c r="H58" s="10" t="s">
        <v>37</v>
      </c>
      <c r="I58" s="11">
        <v>46073.0</v>
      </c>
      <c r="J58" s="11">
        <v>46076.0</v>
      </c>
      <c r="K58" s="10" t="s">
        <v>20</v>
      </c>
      <c r="L58" s="17"/>
      <c r="M58" s="13" t="str">
        <f t="shared" si="1"/>
        <v>mobile</v>
      </c>
      <c r="N58" s="13" t="str">
        <f t="shared" si="2"/>
        <v>mobile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6" t="s">
        <v>86</v>
      </c>
      <c r="C59" s="7" t="s">
        <v>954</v>
      </c>
      <c r="D59" s="14"/>
      <c r="E59" s="9" t="s">
        <v>956</v>
      </c>
      <c r="F59" s="10" t="s">
        <v>957</v>
      </c>
      <c r="G59" s="10" t="s">
        <v>959</v>
      </c>
      <c r="H59" s="10" t="s">
        <v>537</v>
      </c>
      <c r="I59" s="19">
        <v>46073.0</v>
      </c>
      <c r="J59" s="15">
        <v>46076.0</v>
      </c>
      <c r="K59" s="12" t="s">
        <v>20</v>
      </c>
      <c r="L59" s="17"/>
      <c r="M59" s="13" t="str">
        <f t="shared" si="1"/>
        <v>fissa </v>
      </c>
      <c r="N59" s="13" t="str">
        <f t="shared" si="2"/>
        <v>fissa 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6" t="s">
        <v>195</v>
      </c>
      <c r="C60" s="7" t="s">
        <v>333</v>
      </c>
      <c r="D60" s="8" t="s">
        <v>960</v>
      </c>
      <c r="E60" s="9" t="s">
        <v>961</v>
      </c>
      <c r="F60" s="10" t="s">
        <v>962</v>
      </c>
      <c r="G60" s="10" t="s">
        <v>963</v>
      </c>
      <c r="H60" s="10" t="s">
        <v>32</v>
      </c>
      <c r="I60" s="20">
        <v>46074.0</v>
      </c>
      <c r="J60" s="11">
        <v>46076.0</v>
      </c>
      <c r="K60" s="10" t="s">
        <v>20</v>
      </c>
      <c r="L60" s="17"/>
      <c r="M60" s="13" t="str">
        <f t="shared" si="1"/>
        <v>fissa </v>
      </c>
      <c r="N60" s="13" t="str">
        <f t="shared" si="2"/>
        <v>fissa 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6" t="s">
        <v>195</v>
      </c>
      <c r="C61" s="7" t="s">
        <v>333</v>
      </c>
      <c r="D61" s="14" t="s">
        <v>964</v>
      </c>
      <c r="E61" s="9" t="s">
        <v>519</v>
      </c>
      <c r="F61" s="10" t="s">
        <v>520</v>
      </c>
      <c r="G61" s="10" t="s">
        <v>965</v>
      </c>
      <c r="H61" s="10" t="s">
        <v>25</v>
      </c>
      <c r="I61" s="11">
        <v>46074.0</v>
      </c>
      <c r="J61" s="15">
        <v>46076.0</v>
      </c>
      <c r="K61" s="12" t="s">
        <v>20</v>
      </c>
      <c r="L61" s="17"/>
      <c r="M61" s="13" t="str">
        <f t="shared" si="1"/>
        <v>mobile</v>
      </c>
      <c r="N61" s="13" t="str">
        <f t="shared" si="2"/>
        <v>mobile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6" t="s">
        <v>195</v>
      </c>
      <c r="C62" s="7" t="s">
        <v>333</v>
      </c>
      <c r="D62" s="8" t="s">
        <v>966</v>
      </c>
      <c r="E62" s="9" t="s">
        <v>920</v>
      </c>
      <c r="F62" s="10" t="s">
        <v>967</v>
      </c>
      <c r="G62" s="10" t="s">
        <v>968</v>
      </c>
      <c r="H62" s="10" t="s">
        <v>68</v>
      </c>
      <c r="I62" s="19">
        <v>46072.0</v>
      </c>
      <c r="J62" s="11">
        <v>46073.0</v>
      </c>
      <c r="K62" s="10" t="s">
        <v>20</v>
      </c>
      <c r="L62" s="12"/>
      <c r="M62" s="13" t="str">
        <f t="shared" si="1"/>
        <v>fissa </v>
      </c>
      <c r="N62" s="13" t="str">
        <f t="shared" si="2"/>
        <v>fissa 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6" t="s">
        <v>13</v>
      </c>
      <c r="C63" s="7" t="s">
        <v>14</v>
      </c>
      <c r="D63" s="8" t="s">
        <v>969</v>
      </c>
      <c r="E63" s="9" t="s">
        <v>970</v>
      </c>
      <c r="F63" s="10" t="s">
        <v>971</v>
      </c>
      <c r="G63" s="10" t="s">
        <v>972</v>
      </c>
      <c r="H63" s="10" t="s">
        <v>44</v>
      </c>
      <c r="I63" s="19">
        <v>46076.0</v>
      </c>
      <c r="J63" s="15">
        <v>46077.0</v>
      </c>
      <c r="K63" s="12" t="s">
        <v>20</v>
      </c>
      <c r="L63" s="12"/>
      <c r="M63" s="13" t="str">
        <f t="shared" si="1"/>
        <v>fissa </v>
      </c>
      <c r="N63" s="13" t="str">
        <f t="shared" si="2"/>
        <v>fissa 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6" t="s">
        <v>195</v>
      </c>
      <c r="C64" s="7" t="s">
        <v>333</v>
      </c>
      <c r="D64" s="8" t="s">
        <v>334</v>
      </c>
      <c r="E64" s="9" t="s">
        <v>335</v>
      </c>
      <c r="F64" s="10" t="s">
        <v>336</v>
      </c>
      <c r="G64" s="10" t="s">
        <v>973</v>
      </c>
      <c r="H64" s="10" t="s">
        <v>37</v>
      </c>
      <c r="I64" s="11">
        <v>46076.0</v>
      </c>
      <c r="J64" s="11">
        <v>46076.0</v>
      </c>
      <c r="K64" s="10" t="s">
        <v>20</v>
      </c>
      <c r="L64" s="12"/>
      <c r="M64" s="13" t="str">
        <f t="shared" si="1"/>
        <v>mobile</v>
      </c>
      <c r="N64" s="13" t="str">
        <f t="shared" si="2"/>
        <v>mobile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6" t="s">
        <v>195</v>
      </c>
      <c r="C65" s="7" t="s">
        <v>333</v>
      </c>
      <c r="D65" s="14"/>
      <c r="E65" s="9" t="s">
        <v>335</v>
      </c>
      <c r="F65" s="10" t="s">
        <v>336</v>
      </c>
      <c r="G65" s="10" t="s">
        <v>974</v>
      </c>
      <c r="H65" s="10" t="s">
        <v>54</v>
      </c>
      <c r="I65" s="11">
        <v>46076.0</v>
      </c>
      <c r="J65" s="11"/>
      <c r="K65" s="10" t="s">
        <v>529</v>
      </c>
      <c r="L65" s="12"/>
      <c r="M65" s="13" t="str">
        <f t="shared" si="1"/>
        <v>easy r</v>
      </c>
      <c r="N65" s="13" t="str">
        <f t="shared" si="2"/>
        <v/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6" t="s">
        <v>26</v>
      </c>
      <c r="C66" s="7" t="s">
        <v>27</v>
      </c>
      <c r="D66" s="8" t="s">
        <v>975</v>
      </c>
      <c r="E66" s="9" t="s">
        <v>976</v>
      </c>
      <c r="F66" s="10" t="s">
        <v>977</v>
      </c>
      <c r="G66" s="10" t="s">
        <v>328</v>
      </c>
      <c r="H66" s="10" t="s">
        <v>54</v>
      </c>
      <c r="I66" s="11">
        <v>46054.0</v>
      </c>
      <c r="J66" s="11">
        <v>46066.0</v>
      </c>
      <c r="K66" s="10" t="s">
        <v>20</v>
      </c>
      <c r="L66" s="12"/>
      <c r="M66" s="13" t="str">
        <f t="shared" si="1"/>
        <v>easy r</v>
      </c>
      <c r="N66" s="13" t="str">
        <f t="shared" si="2"/>
        <v>easy r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6" t="s">
        <v>13</v>
      </c>
      <c r="C67" s="7" t="s">
        <v>142</v>
      </c>
      <c r="D67" s="14" t="s">
        <v>978</v>
      </c>
      <c r="E67" s="9" t="s">
        <v>979</v>
      </c>
      <c r="F67" s="10" t="s">
        <v>980</v>
      </c>
      <c r="G67" s="10" t="s">
        <v>53</v>
      </c>
      <c r="H67" s="10" t="s">
        <v>54</v>
      </c>
      <c r="I67" s="11">
        <v>46054.0</v>
      </c>
      <c r="J67" s="11">
        <v>46078.0</v>
      </c>
      <c r="K67" s="10" t="s">
        <v>20</v>
      </c>
      <c r="L67" s="12"/>
      <c r="M67" s="13" t="str">
        <f t="shared" si="1"/>
        <v>easy r</v>
      </c>
      <c r="N67" s="13" t="str">
        <f t="shared" si="2"/>
        <v>easy r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6" t="s">
        <v>13</v>
      </c>
      <c r="C68" s="7" t="s">
        <v>142</v>
      </c>
      <c r="D68" s="8" t="s">
        <v>981</v>
      </c>
      <c r="E68" s="9" t="s">
        <v>979</v>
      </c>
      <c r="F68" s="10" t="s">
        <v>980</v>
      </c>
      <c r="G68" s="10" t="s">
        <v>53</v>
      </c>
      <c r="H68" s="10" t="s">
        <v>54</v>
      </c>
      <c r="I68" s="11">
        <v>46054.0</v>
      </c>
      <c r="J68" s="11">
        <v>46078.0</v>
      </c>
      <c r="K68" s="10" t="s">
        <v>20</v>
      </c>
      <c r="L68" s="12"/>
      <c r="M68" s="13" t="str">
        <f t="shared" si="1"/>
        <v>easy r</v>
      </c>
      <c r="N68" s="13" t="str">
        <f t="shared" si="2"/>
        <v>easy r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6" t="s">
        <v>195</v>
      </c>
      <c r="C69" s="7" t="s">
        <v>333</v>
      </c>
      <c r="D69" s="8" t="s">
        <v>982</v>
      </c>
      <c r="E69" s="9" t="s">
        <v>983</v>
      </c>
      <c r="F69" s="10" t="s">
        <v>984</v>
      </c>
      <c r="G69" s="10" t="s">
        <v>985</v>
      </c>
      <c r="H69" s="10" t="s">
        <v>19</v>
      </c>
      <c r="I69" s="19">
        <v>46078.0</v>
      </c>
      <c r="J69" s="11">
        <v>46079.0</v>
      </c>
      <c r="K69" s="10" t="s">
        <v>20</v>
      </c>
      <c r="L69" s="12"/>
      <c r="M69" s="13" t="str">
        <f t="shared" si="1"/>
        <v>fissa </v>
      </c>
      <c r="N69" s="13" t="str">
        <f t="shared" si="2"/>
        <v>fissa 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6" t="s">
        <v>207</v>
      </c>
      <c r="C70" s="7" t="s">
        <v>208</v>
      </c>
      <c r="D70" s="14" t="s">
        <v>986</v>
      </c>
      <c r="E70" s="9" t="s">
        <v>987</v>
      </c>
      <c r="F70" s="10" t="s">
        <v>988</v>
      </c>
      <c r="G70" s="10" t="s">
        <v>989</v>
      </c>
      <c r="H70" s="10" t="s">
        <v>44</v>
      </c>
      <c r="I70" s="11">
        <v>46078.0</v>
      </c>
      <c r="J70" s="11"/>
      <c r="K70" s="10" t="s">
        <v>529</v>
      </c>
      <c r="L70" s="17"/>
      <c r="M70" s="13" t="str">
        <f t="shared" si="1"/>
        <v>fissa </v>
      </c>
      <c r="N70" s="13" t="str">
        <f t="shared" si="2"/>
        <v/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6" t="s">
        <v>86</v>
      </c>
      <c r="C71" s="7" t="s">
        <v>14</v>
      </c>
      <c r="D71" s="8" t="s">
        <v>990</v>
      </c>
      <c r="E71" s="9" t="s">
        <v>991</v>
      </c>
      <c r="F71" s="10" t="s">
        <v>992</v>
      </c>
      <c r="G71" s="10" t="s">
        <v>993</v>
      </c>
      <c r="H71" s="10" t="s">
        <v>37</v>
      </c>
      <c r="I71" s="11">
        <v>46055.0</v>
      </c>
      <c r="J71" s="11">
        <v>46055.0</v>
      </c>
      <c r="K71" s="10" t="s">
        <v>20</v>
      </c>
      <c r="L71" s="17"/>
      <c r="M71" s="13" t="str">
        <f t="shared" si="1"/>
        <v>mobile</v>
      </c>
      <c r="N71" s="13" t="str">
        <f t="shared" si="2"/>
        <v>mobile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6" t="s">
        <v>55</v>
      </c>
      <c r="C72" s="7" t="s">
        <v>56</v>
      </c>
      <c r="D72" s="8" t="s">
        <v>994</v>
      </c>
      <c r="E72" s="9" t="s">
        <v>995</v>
      </c>
      <c r="F72" s="10" t="s">
        <v>996</v>
      </c>
      <c r="G72" s="10" t="s">
        <v>997</v>
      </c>
      <c r="H72" s="10" t="s">
        <v>37</v>
      </c>
      <c r="I72" s="11">
        <v>46054.0</v>
      </c>
      <c r="J72" s="11">
        <v>46054.0</v>
      </c>
      <c r="K72" s="10" t="s">
        <v>20</v>
      </c>
      <c r="L72" s="17"/>
      <c r="M72" s="13" t="str">
        <f t="shared" si="1"/>
        <v>mobile</v>
      </c>
      <c r="N72" s="13" t="str">
        <f t="shared" si="2"/>
        <v>mobile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6" t="s">
        <v>38</v>
      </c>
      <c r="C73" s="7" t="s">
        <v>39</v>
      </c>
      <c r="D73" s="14" t="s">
        <v>998</v>
      </c>
      <c r="E73" s="9" t="s">
        <v>527</v>
      </c>
      <c r="F73" s="10" t="s">
        <v>528</v>
      </c>
      <c r="G73" s="10" t="s">
        <v>91</v>
      </c>
      <c r="H73" s="10" t="s">
        <v>54</v>
      </c>
      <c r="I73" s="11">
        <v>46058.0</v>
      </c>
      <c r="J73" s="11">
        <v>46080.0</v>
      </c>
      <c r="K73" s="10" t="s">
        <v>20</v>
      </c>
      <c r="L73" s="17"/>
      <c r="M73" s="13" t="str">
        <f t="shared" si="1"/>
        <v>easy r</v>
      </c>
      <c r="N73" s="13" t="str">
        <f t="shared" si="2"/>
        <v>easy r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6" t="s">
        <v>75</v>
      </c>
      <c r="C74" s="7" t="s">
        <v>76</v>
      </c>
      <c r="D74" s="8" t="s">
        <v>999</v>
      </c>
      <c r="E74" s="9" t="s">
        <v>1000</v>
      </c>
      <c r="F74" s="10" t="s">
        <v>1001</v>
      </c>
      <c r="G74" s="10" t="s">
        <v>1002</v>
      </c>
      <c r="H74" s="10" t="s">
        <v>25</v>
      </c>
      <c r="I74" s="11">
        <v>46079.0</v>
      </c>
      <c r="J74" s="11">
        <v>46079.0</v>
      </c>
      <c r="K74" s="10" t="s">
        <v>20</v>
      </c>
      <c r="L74" s="17"/>
      <c r="M74" s="13" t="str">
        <f t="shared" si="1"/>
        <v>mobile</v>
      </c>
      <c r="N74" s="13" t="str">
        <f t="shared" si="2"/>
        <v>mobile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6" t="s">
        <v>26</v>
      </c>
      <c r="C75" s="7" t="s">
        <v>27</v>
      </c>
      <c r="D75" s="14" t="s">
        <v>316</v>
      </c>
      <c r="E75" s="9" t="s">
        <v>317</v>
      </c>
      <c r="F75" s="10" t="s">
        <v>318</v>
      </c>
      <c r="G75" s="10" t="s">
        <v>319</v>
      </c>
      <c r="H75" s="10" t="s">
        <v>32</v>
      </c>
      <c r="I75" s="19">
        <v>46080.0</v>
      </c>
      <c r="J75" s="11"/>
      <c r="K75" s="10" t="s">
        <v>529</v>
      </c>
      <c r="L75" s="17"/>
      <c r="M75" s="13" t="str">
        <f t="shared" si="1"/>
        <v>fissa </v>
      </c>
      <c r="N75" s="13" t="str">
        <f t="shared" si="2"/>
        <v/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6" t="s">
        <v>26</v>
      </c>
      <c r="C76" s="7" t="s">
        <v>27</v>
      </c>
      <c r="D76" s="8" t="s">
        <v>1003</v>
      </c>
      <c r="E76" s="9" t="s">
        <v>1004</v>
      </c>
      <c r="F76" s="10" t="s">
        <v>1005</v>
      </c>
      <c r="G76" s="10" t="s">
        <v>1006</v>
      </c>
      <c r="H76" s="10" t="s">
        <v>44</v>
      </c>
      <c r="I76" s="11">
        <v>46080.0</v>
      </c>
      <c r="J76" s="11">
        <v>46081.0</v>
      </c>
      <c r="K76" s="10" t="s">
        <v>20</v>
      </c>
      <c r="L76" s="17"/>
      <c r="M76" s="13" t="str">
        <f t="shared" si="1"/>
        <v>fissa </v>
      </c>
      <c r="N76" s="13" t="str">
        <f t="shared" si="2"/>
        <v>fissa 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6" t="s">
        <v>38</v>
      </c>
      <c r="C77" s="7" t="s">
        <v>39</v>
      </c>
      <c r="D77" s="8" t="s">
        <v>907</v>
      </c>
      <c r="E77" s="9" t="s">
        <v>908</v>
      </c>
      <c r="F77" s="10" t="s">
        <v>1007</v>
      </c>
      <c r="G77" s="10" t="s">
        <v>53</v>
      </c>
      <c r="H77" s="10" t="s">
        <v>54</v>
      </c>
      <c r="I77" s="11">
        <v>46065.0</v>
      </c>
      <c r="J77" s="11">
        <v>46080.0</v>
      </c>
      <c r="K77" s="10" t="s">
        <v>20</v>
      </c>
      <c r="L77" s="17"/>
      <c r="M77" s="13" t="str">
        <f t="shared" si="1"/>
        <v>easy r</v>
      </c>
      <c r="N77" s="13" t="str">
        <f t="shared" si="2"/>
        <v>easy r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6"/>
      <c r="C78" s="7"/>
      <c r="D78" s="21"/>
      <c r="E78" s="9"/>
      <c r="F78" s="10"/>
      <c r="G78" s="10"/>
      <c r="H78" s="10"/>
      <c r="I78" s="11"/>
      <c r="J78" s="15"/>
      <c r="K78" s="12"/>
      <c r="L78" s="17"/>
      <c r="M78" s="13" t="str">
        <f t="shared" si="1"/>
        <v/>
      </c>
      <c r="N78" s="13" t="str">
        <f t="shared" si="2"/>
        <v/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6"/>
      <c r="C79" s="7"/>
      <c r="D79" s="21"/>
      <c r="E79" s="9"/>
      <c r="F79" s="10"/>
      <c r="G79" s="10"/>
      <c r="H79" s="10"/>
      <c r="I79" s="11"/>
      <c r="J79" s="11"/>
      <c r="K79" s="10"/>
      <c r="L79" s="17"/>
      <c r="M79" s="13" t="str">
        <f t="shared" si="1"/>
        <v/>
      </c>
      <c r="N79" s="13" t="str">
        <f t="shared" si="2"/>
        <v/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6"/>
      <c r="C80" s="7"/>
      <c r="D80" s="14"/>
      <c r="E80" s="9"/>
      <c r="F80" s="10"/>
      <c r="G80" s="10"/>
      <c r="H80" s="10"/>
      <c r="I80" s="11"/>
      <c r="J80" s="11"/>
      <c r="K80" s="10"/>
      <c r="L80" s="17"/>
      <c r="M80" s="13" t="str">
        <f t="shared" si="1"/>
        <v/>
      </c>
      <c r="N80" s="13" t="str">
        <f t="shared" si="2"/>
        <v/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6"/>
      <c r="C81" s="7"/>
      <c r="D81" s="21"/>
      <c r="E81" s="9"/>
      <c r="F81" s="10"/>
      <c r="G81" s="10"/>
      <c r="H81" s="10"/>
      <c r="I81" s="11"/>
      <c r="J81" s="15"/>
      <c r="K81" s="12"/>
      <c r="L81" s="17"/>
      <c r="M81" s="13" t="str">
        <f t="shared" si="1"/>
        <v/>
      </c>
      <c r="N81" s="13" t="str">
        <f t="shared" si="2"/>
        <v/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6"/>
      <c r="C82" s="7"/>
      <c r="D82" s="8"/>
      <c r="E82" s="9"/>
      <c r="F82" s="10"/>
      <c r="G82" s="10"/>
      <c r="H82" s="10"/>
      <c r="I82" s="11"/>
      <c r="J82" s="15"/>
      <c r="K82" s="12"/>
      <c r="L82" s="17"/>
      <c r="M82" s="13" t="str">
        <f t="shared" si="1"/>
        <v/>
      </c>
      <c r="N82" s="13" t="str">
        <f t="shared" si="2"/>
        <v/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6"/>
      <c r="C83" s="7"/>
      <c r="D83" s="21"/>
      <c r="E83" s="9"/>
      <c r="F83" s="10"/>
      <c r="G83" s="10"/>
      <c r="H83" s="10"/>
      <c r="I83" s="11"/>
      <c r="J83" s="11"/>
      <c r="K83" s="10"/>
      <c r="L83" s="17"/>
      <c r="M83" s="13" t="str">
        <f t="shared" si="1"/>
        <v/>
      </c>
      <c r="N83" s="13" t="str">
        <f t="shared" si="2"/>
        <v/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6"/>
      <c r="C84" s="7"/>
      <c r="D84" s="14"/>
      <c r="E84" s="9"/>
      <c r="F84" s="10"/>
      <c r="G84" s="10"/>
      <c r="H84" s="10"/>
      <c r="I84" s="11"/>
      <c r="J84" s="11"/>
      <c r="K84" s="10"/>
      <c r="L84" s="17"/>
      <c r="M84" s="13" t="str">
        <f t="shared" si="1"/>
        <v/>
      </c>
      <c r="N84" s="13" t="str">
        <f t="shared" si="2"/>
        <v/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6"/>
      <c r="C85" s="7"/>
      <c r="D85" s="18"/>
      <c r="E85" s="9"/>
      <c r="F85" s="10"/>
      <c r="G85" s="10"/>
      <c r="H85" s="10"/>
      <c r="I85" s="45"/>
      <c r="J85" s="11"/>
      <c r="K85" s="10"/>
      <c r="L85" s="17"/>
      <c r="M85" s="13" t="str">
        <f t="shared" si="1"/>
        <v/>
      </c>
      <c r="N85" s="13" t="str">
        <f t="shared" si="2"/>
        <v/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6"/>
      <c r="C86" s="7"/>
      <c r="D86" s="21"/>
      <c r="E86" s="9"/>
      <c r="F86" s="10"/>
      <c r="G86" s="10"/>
      <c r="H86" s="10"/>
      <c r="I86" s="19"/>
      <c r="J86" s="11"/>
      <c r="K86" s="10"/>
      <c r="L86" s="17"/>
      <c r="M86" s="13" t="str">
        <f t="shared" si="1"/>
        <v/>
      </c>
      <c r="N86" s="13" t="str">
        <f t="shared" si="2"/>
        <v/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6"/>
      <c r="C87" s="7"/>
      <c r="D87" s="22"/>
      <c r="E87" s="9"/>
      <c r="F87" s="10"/>
      <c r="G87" s="10"/>
      <c r="H87" s="10"/>
      <c r="I87" s="11"/>
      <c r="J87" s="11"/>
      <c r="K87" s="10"/>
      <c r="L87" s="17"/>
      <c r="M87" s="13" t="str">
        <f t="shared" si="1"/>
        <v/>
      </c>
      <c r="N87" s="13" t="str">
        <f t="shared" si="2"/>
        <v/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6"/>
      <c r="C88" s="7"/>
      <c r="D88" s="18"/>
      <c r="E88" s="9"/>
      <c r="F88" s="10"/>
      <c r="G88" s="10"/>
      <c r="H88" s="10"/>
      <c r="I88" s="11"/>
      <c r="J88" s="11"/>
      <c r="K88" s="10"/>
      <c r="L88" s="17"/>
      <c r="M88" s="13" t="str">
        <f t="shared" si="1"/>
        <v/>
      </c>
      <c r="N88" s="13" t="str">
        <f t="shared" si="2"/>
        <v/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6"/>
      <c r="C89" s="7"/>
      <c r="D89" s="8"/>
      <c r="E89" s="9"/>
      <c r="F89" s="10"/>
      <c r="G89" s="10"/>
      <c r="H89" s="10"/>
      <c r="I89" s="45"/>
      <c r="J89" s="11"/>
      <c r="K89" s="10"/>
      <c r="L89" s="17"/>
      <c r="M89" s="13" t="str">
        <f t="shared" si="1"/>
        <v/>
      </c>
      <c r="N89" s="13" t="str">
        <f t="shared" si="2"/>
        <v/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6"/>
      <c r="C90" s="7"/>
      <c r="D90" s="21"/>
      <c r="E90" s="9"/>
      <c r="F90" s="10"/>
      <c r="G90" s="10"/>
      <c r="H90" s="10"/>
      <c r="I90" s="11"/>
      <c r="J90" s="11"/>
      <c r="K90" s="10"/>
      <c r="L90" s="17"/>
      <c r="M90" s="13" t="str">
        <f t="shared" si="1"/>
        <v/>
      </c>
      <c r="N90" s="13" t="str">
        <f t="shared" si="2"/>
        <v/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6"/>
      <c r="C91" s="7"/>
      <c r="D91" s="8"/>
      <c r="E91" s="9"/>
      <c r="F91" s="10"/>
      <c r="G91" s="10"/>
      <c r="H91" s="10"/>
      <c r="I91" s="11"/>
      <c r="J91" s="15"/>
      <c r="K91" s="12"/>
      <c r="L91" s="17"/>
      <c r="M91" s="13" t="str">
        <f t="shared" si="1"/>
        <v/>
      </c>
      <c r="N91" s="13" t="str">
        <f t="shared" si="2"/>
        <v/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6"/>
      <c r="C92" s="7"/>
      <c r="D92" s="18"/>
      <c r="E92" s="9"/>
      <c r="F92" s="10"/>
      <c r="G92" s="10"/>
      <c r="H92" s="10"/>
      <c r="I92" s="11"/>
      <c r="J92" s="15"/>
      <c r="K92" s="12"/>
      <c r="L92" s="17"/>
      <c r="M92" s="13" t="str">
        <f t="shared" si="1"/>
        <v/>
      </c>
      <c r="N92" s="13" t="str">
        <f t="shared" si="2"/>
        <v/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6"/>
      <c r="C93" s="7"/>
      <c r="D93" s="21"/>
      <c r="E93" s="9"/>
      <c r="F93" s="10"/>
      <c r="G93" s="10"/>
      <c r="H93" s="10"/>
      <c r="I93" s="11"/>
      <c r="J93" s="11"/>
      <c r="K93" s="10"/>
      <c r="L93" s="17"/>
      <c r="M93" s="13" t="str">
        <f t="shared" si="1"/>
        <v/>
      </c>
      <c r="N93" s="13" t="str">
        <f t="shared" si="2"/>
        <v/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6"/>
      <c r="C94" s="7"/>
      <c r="D94" s="14"/>
      <c r="E94" s="9"/>
      <c r="F94" s="10"/>
      <c r="G94" s="10"/>
      <c r="H94" s="10"/>
      <c r="I94" s="11"/>
      <c r="J94" s="11"/>
      <c r="K94" s="10"/>
      <c r="L94" s="17"/>
      <c r="M94" s="13" t="str">
        <f t="shared" si="1"/>
        <v/>
      </c>
      <c r="N94" s="13" t="str">
        <f t="shared" si="2"/>
        <v/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6"/>
      <c r="C95" s="7"/>
      <c r="D95" s="8"/>
      <c r="E95" s="9"/>
      <c r="F95" s="10"/>
      <c r="G95" s="9"/>
      <c r="H95" s="10"/>
      <c r="I95" s="19"/>
      <c r="J95" s="15"/>
      <c r="K95" s="12"/>
      <c r="L95" s="17"/>
      <c r="M95" s="13" t="str">
        <f t="shared" si="1"/>
        <v/>
      </c>
      <c r="N95" s="13" t="str">
        <f t="shared" si="2"/>
        <v/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6"/>
      <c r="C96" s="7"/>
      <c r="D96" s="21"/>
      <c r="E96" s="9"/>
      <c r="F96" s="10"/>
      <c r="G96" s="10"/>
      <c r="H96" s="10"/>
      <c r="I96" s="19"/>
      <c r="J96" s="15"/>
      <c r="K96" s="12"/>
      <c r="L96" s="17"/>
      <c r="M96" s="13" t="str">
        <f t="shared" si="1"/>
        <v/>
      </c>
      <c r="N96" s="13" t="str">
        <f t="shared" si="2"/>
        <v/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6"/>
      <c r="C97" s="7"/>
      <c r="D97" s="8"/>
      <c r="E97" s="9"/>
      <c r="F97" s="10"/>
      <c r="G97" s="10"/>
      <c r="H97" s="10"/>
      <c r="I97" s="11"/>
      <c r="J97" s="11"/>
      <c r="K97" s="10"/>
      <c r="L97" s="17"/>
      <c r="M97" s="13" t="str">
        <f t="shared" si="1"/>
        <v/>
      </c>
      <c r="N97" s="13" t="str">
        <f t="shared" si="2"/>
        <v/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6"/>
      <c r="C98" s="7"/>
      <c r="D98" s="18"/>
      <c r="E98" s="9"/>
      <c r="F98" s="10"/>
      <c r="G98" s="10"/>
      <c r="H98" s="10"/>
      <c r="I98" s="45"/>
      <c r="J98" s="11"/>
      <c r="K98" s="10"/>
      <c r="L98" s="17"/>
      <c r="M98" s="13" t="str">
        <f t="shared" si="1"/>
        <v/>
      </c>
      <c r="N98" s="13" t="str">
        <f t="shared" si="2"/>
        <v/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6"/>
      <c r="C99" s="7"/>
      <c r="D99" s="8"/>
      <c r="E99" s="9"/>
      <c r="F99" s="10"/>
      <c r="G99" s="10"/>
      <c r="H99" s="10"/>
      <c r="I99" s="11"/>
      <c r="J99" s="11"/>
      <c r="K99" s="10"/>
      <c r="L99" s="17"/>
      <c r="M99" s="13" t="str">
        <f t="shared" si="1"/>
        <v/>
      </c>
      <c r="N99" s="13" t="str">
        <f t="shared" si="2"/>
        <v/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6"/>
      <c r="C100" s="7"/>
      <c r="D100" s="14"/>
      <c r="E100" s="9"/>
      <c r="F100" s="10"/>
      <c r="G100" s="10"/>
      <c r="H100" s="10"/>
      <c r="I100" s="11"/>
      <c r="J100" s="11"/>
      <c r="K100" s="10"/>
      <c r="L100" s="17"/>
      <c r="M100" s="13" t="str">
        <f t="shared" si="1"/>
        <v/>
      </c>
      <c r="N100" s="13" t="str">
        <f t="shared" si="2"/>
        <v/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6"/>
      <c r="C101" s="7"/>
      <c r="D101" s="21"/>
      <c r="E101" s="9"/>
      <c r="F101" s="10"/>
      <c r="G101" s="10"/>
      <c r="H101" s="10"/>
      <c r="I101" s="11"/>
      <c r="J101" s="11"/>
      <c r="K101" s="10"/>
      <c r="L101" s="17"/>
      <c r="M101" s="13" t="str">
        <f t="shared" si="1"/>
        <v/>
      </c>
      <c r="N101" s="13" t="str">
        <f t="shared" si="2"/>
        <v/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6"/>
      <c r="C102" s="7"/>
      <c r="D102" s="18"/>
      <c r="E102" s="9"/>
      <c r="F102" s="10"/>
      <c r="G102" s="10"/>
      <c r="H102" s="10"/>
      <c r="I102" s="11"/>
      <c r="J102" s="11"/>
      <c r="K102" s="10"/>
      <c r="L102" s="17"/>
      <c r="M102" s="13" t="str">
        <f t="shared" si="1"/>
        <v/>
      </c>
      <c r="N102" s="13" t="str">
        <f t="shared" si="2"/>
        <v/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6"/>
      <c r="C103" s="7"/>
      <c r="D103" s="21"/>
      <c r="E103" s="9"/>
      <c r="F103" s="10"/>
      <c r="G103" s="10"/>
      <c r="H103" s="10"/>
      <c r="I103" s="11"/>
      <c r="J103" s="11"/>
      <c r="K103" s="10"/>
      <c r="L103" s="17"/>
      <c r="M103" s="13" t="str">
        <f t="shared" si="1"/>
        <v/>
      </c>
      <c r="N103" s="13" t="str">
        <f t="shared" si="2"/>
        <v/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6"/>
      <c r="C104" s="7"/>
      <c r="D104" s="18"/>
      <c r="E104" s="9"/>
      <c r="F104" s="10"/>
      <c r="G104" s="10"/>
      <c r="H104" s="10"/>
      <c r="I104" s="11"/>
      <c r="J104" s="11"/>
      <c r="K104" s="10"/>
      <c r="L104" s="17"/>
      <c r="M104" s="13" t="str">
        <f t="shared" si="1"/>
        <v/>
      </c>
      <c r="N104" s="13" t="str">
        <f t="shared" si="2"/>
        <v/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6"/>
      <c r="C105" s="7"/>
      <c r="D105" s="18"/>
      <c r="E105" s="9"/>
      <c r="F105" s="10"/>
      <c r="G105" s="10"/>
      <c r="H105" s="10"/>
      <c r="I105" s="11"/>
      <c r="J105" s="11"/>
      <c r="K105" s="10"/>
      <c r="L105" s="17"/>
      <c r="M105" s="13" t="str">
        <f t="shared" si="1"/>
        <v/>
      </c>
      <c r="N105" s="13" t="str">
        <f t="shared" si="2"/>
        <v/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6"/>
      <c r="C106" s="7"/>
      <c r="D106" s="14"/>
      <c r="E106" s="9"/>
      <c r="F106" s="10"/>
      <c r="G106" s="10"/>
      <c r="H106" s="10"/>
      <c r="I106" s="11"/>
      <c r="J106" s="11"/>
      <c r="K106" s="10"/>
      <c r="L106" s="17"/>
      <c r="M106" s="13" t="str">
        <f t="shared" si="1"/>
        <v/>
      </c>
      <c r="N106" s="13" t="str">
        <f t="shared" si="2"/>
        <v/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6"/>
      <c r="C107" s="7"/>
      <c r="D107" s="18"/>
      <c r="E107" s="9"/>
      <c r="F107" s="10"/>
      <c r="G107" s="10"/>
      <c r="H107" s="10"/>
      <c r="I107" s="11"/>
      <c r="J107" s="11"/>
      <c r="K107" s="10"/>
      <c r="L107" s="17"/>
      <c r="M107" s="13" t="str">
        <f t="shared" si="1"/>
        <v/>
      </c>
      <c r="N107" s="13" t="str">
        <f t="shared" si="2"/>
        <v/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6"/>
      <c r="C108" s="7"/>
      <c r="D108" s="21"/>
      <c r="E108" s="9"/>
      <c r="F108" s="10"/>
      <c r="G108" s="10"/>
      <c r="H108" s="10"/>
      <c r="I108" s="11"/>
      <c r="J108" s="11"/>
      <c r="K108" s="10"/>
      <c r="L108" s="17"/>
      <c r="M108" s="13" t="str">
        <f t="shared" si="1"/>
        <v/>
      </c>
      <c r="N108" s="13" t="str">
        <f t="shared" si="2"/>
        <v/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6"/>
      <c r="C109" s="7"/>
      <c r="D109" s="14"/>
      <c r="E109" s="9"/>
      <c r="F109" s="10"/>
      <c r="G109" s="10"/>
      <c r="H109" s="10"/>
      <c r="I109" s="11"/>
      <c r="J109" s="11"/>
      <c r="K109" s="10"/>
      <c r="L109" s="17"/>
      <c r="M109" s="13" t="str">
        <f t="shared" si="1"/>
        <v/>
      </c>
      <c r="N109" s="13" t="str">
        <f t="shared" si="2"/>
        <v/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6"/>
      <c r="C110" s="7"/>
      <c r="D110" s="18"/>
      <c r="E110" s="9"/>
      <c r="F110" s="10"/>
      <c r="G110" s="10"/>
      <c r="H110" s="10"/>
      <c r="I110" s="11"/>
      <c r="J110" s="11"/>
      <c r="K110" s="10"/>
      <c r="L110" s="17"/>
      <c r="M110" s="13" t="str">
        <f t="shared" si="1"/>
        <v/>
      </c>
      <c r="N110" s="13" t="str">
        <f t="shared" si="2"/>
        <v/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6"/>
      <c r="C111" s="7"/>
      <c r="D111" s="21"/>
      <c r="E111" s="9"/>
      <c r="F111" s="10"/>
      <c r="G111" s="10"/>
      <c r="H111" s="10"/>
      <c r="I111" s="11"/>
      <c r="J111" s="11"/>
      <c r="K111" s="10"/>
      <c r="L111" s="17"/>
      <c r="M111" s="13" t="str">
        <f t="shared" si="1"/>
        <v/>
      </c>
      <c r="N111" s="13" t="str">
        <f t="shared" si="2"/>
        <v/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6"/>
      <c r="C112" s="7"/>
      <c r="D112" s="8"/>
      <c r="E112" s="9"/>
      <c r="F112" s="10"/>
      <c r="G112" s="10"/>
      <c r="H112" s="10"/>
      <c r="I112" s="11"/>
      <c r="J112" s="11"/>
      <c r="K112" s="10"/>
      <c r="L112" s="17"/>
      <c r="M112" s="13" t="str">
        <f t="shared" si="1"/>
        <v/>
      </c>
      <c r="N112" s="13" t="str">
        <f t="shared" si="2"/>
        <v/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6"/>
      <c r="C113" s="7"/>
      <c r="D113" s="18"/>
      <c r="E113" s="9"/>
      <c r="F113" s="10"/>
      <c r="G113" s="10"/>
      <c r="H113" s="10"/>
      <c r="I113" s="45"/>
      <c r="J113" s="11"/>
      <c r="K113" s="10"/>
      <c r="L113" s="17"/>
      <c r="M113" s="13" t="str">
        <f t="shared" si="1"/>
        <v/>
      </c>
      <c r="N113" s="13" t="str">
        <f t="shared" si="2"/>
        <v/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6"/>
      <c r="C114" s="7"/>
      <c r="D114" s="14"/>
      <c r="E114" s="9"/>
      <c r="F114" s="10"/>
      <c r="G114" s="10"/>
      <c r="H114" s="10"/>
      <c r="I114" s="19"/>
      <c r="J114" s="11"/>
      <c r="K114" s="10"/>
      <c r="L114" s="17"/>
      <c r="M114" s="13" t="str">
        <f t="shared" si="1"/>
        <v/>
      </c>
      <c r="N114" s="13" t="str">
        <f t="shared" si="2"/>
        <v/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6"/>
      <c r="C115" s="7"/>
      <c r="D115" s="8"/>
      <c r="E115" s="9"/>
      <c r="F115" s="10"/>
      <c r="G115" s="10"/>
      <c r="H115" s="10"/>
      <c r="I115" s="11"/>
      <c r="J115" s="11"/>
      <c r="K115" s="10"/>
      <c r="L115" s="17"/>
      <c r="M115" s="13" t="str">
        <f t="shared" si="1"/>
        <v/>
      </c>
      <c r="N115" s="13" t="str">
        <f t="shared" si="2"/>
        <v/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6"/>
      <c r="C116" s="7"/>
      <c r="D116" s="8"/>
      <c r="E116" s="9"/>
      <c r="F116" s="10"/>
      <c r="G116" s="10"/>
      <c r="H116" s="10"/>
      <c r="I116" s="19"/>
      <c r="J116" s="11"/>
      <c r="K116" s="10"/>
      <c r="L116" s="17"/>
      <c r="M116" s="13" t="str">
        <f t="shared" si="1"/>
        <v/>
      </c>
      <c r="N116" s="13" t="str">
        <f t="shared" si="2"/>
        <v/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6"/>
      <c r="C117" s="7"/>
      <c r="D117" s="18"/>
      <c r="E117" s="9"/>
      <c r="F117" s="10"/>
      <c r="G117" s="10"/>
      <c r="H117" s="10"/>
      <c r="I117" s="11"/>
      <c r="J117" s="11"/>
      <c r="K117" s="10"/>
      <c r="L117" s="17"/>
      <c r="M117" s="13" t="str">
        <f t="shared" si="1"/>
        <v/>
      </c>
      <c r="N117" s="13" t="str">
        <f t="shared" si="2"/>
        <v/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6"/>
      <c r="C118" s="59"/>
      <c r="D118" s="8"/>
      <c r="E118" s="9"/>
      <c r="F118" s="10"/>
      <c r="G118" s="10"/>
      <c r="H118" s="10"/>
      <c r="I118" s="19"/>
      <c r="J118" s="11"/>
      <c r="K118" s="10"/>
      <c r="L118" s="17"/>
      <c r="M118" s="13" t="str">
        <f t="shared" si="1"/>
        <v/>
      </c>
      <c r="N118" s="13" t="str">
        <f t="shared" si="2"/>
        <v/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6"/>
      <c r="C119" s="7"/>
      <c r="D119" s="14"/>
      <c r="E119" s="9"/>
      <c r="F119" s="10"/>
      <c r="G119" s="10"/>
      <c r="H119" s="10"/>
      <c r="I119" s="11"/>
      <c r="J119" s="11"/>
      <c r="K119" s="10"/>
      <c r="L119" s="17"/>
      <c r="M119" s="13" t="str">
        <f t="shared" si="1"/>
        <v/>
      </c>
      <c r="N119" s="13" t="str">
        <f t="shared" si="2"/>
        <v/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6"/>
      <c r="C120" s="7"/>
      <c r="D120" s="21"/>
      <c r="E120" s="9"/>
      <c r="F120" s="10"/>
      <c r="G120" s="10"/>
      <c r="H120" s="10"/>
      <c r="I120" s="11"/>
      <c r="J120" s="11"/>
      <c r="K120" s="10"/>
      <c r="L120" s="17"/>
      <c r="M120" s="13" t="str">
        <f t="shared" si="1"/>
        <v/>
      </c>
      <c r="N120" s="13" t="str">
        <f t="shared" si="2"/>
        <v/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6"/>
      <c r="C121" s="7"/>
      <c r="D121" s="14"/>
      <c r="E121" s="9"/>
      <c r="F121" s="10"/>
      <c r="G121" s="10"/>
      <c r="H121" s="10"/>
      <c r="I121" s="46"/>
      <c r="J121" s="11"/>
      <c r="K121" s="10"/>
      <c r="L121" s="17"/>
      <c r="M121" s="13" t="str">
        <f t="shared" si="1"/>
        <v/>
      </c>
      <c r="N121" s="13" t="str">
        <f t="shared" si="2"/>
        <v/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6"/>
      <c r="C122" s="7"/>
      <c r="D122" s="21"/>
      <c r="E122" s="9"/>
      <c r="F122" s="10"/>
      <c r="G122" s="10"/>
      <c r="H122" s="10"/>
      <c r="I122" s="11"/>
      <c r="J122" s="11"/>
      <c r="K122" s="10"/>
      <c r="L122" s="17"/>
      <c r="M122" s="13" t="str">
        <f t="shared" si="1"/>
        <v/>
      </c>
      <c r="N122" s="13" t="str">
        <f t="shared" si="2"/>
        <v/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6"/>
      <c r="C123" s="7"/>
      <c r="D123" s="8"/>
      <c r="E123" s="9"/>
      <c r="F123" s="10"/>
      <c r="G123" s="10"/>
      <c r="H123" s="10"/>
      <c r="I123" s="11"/>
      <c r="J123" s="11"/>
      <c r="K123" s="10"/>
      <c r="L123" s="17"/>
      <c r="M123" s="13" t="str">
        <f t="shared" si="1"/>
        <v/>
      </c>
      <c r="N123" s="13" t="str">
        <f t="shared" si="2"/>
        <v/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6"/>
      <c r="C124" s="7"/>
      <c r="D124" s="8"/>
      <c r="E124" s="9"/>
      <c r="F124" s="10"/>
      <c r="G124" s="10"/>
      <c r="H124" s="10"/>
      <c r="I124" s="11"/>
      <c r="J124" s="11"/>
      <c r="K124" s="10"/>
      <c r="L124" s="17"/>
      <c r="M124" s="13" t="str">
        <f t="shared" si="1"/>
        <v/>
      </c>
      <c r="N124" s="13" t="str">
        <f t="shared" si="2"/>
        <v/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6"/>
      <c r="C125" s="7"/>
      <c r="D125" s="14"/>
      <c r="E125" s="9"/>
      <c r="F125" s="10"/>
      <c r="G125" s="10"/>
      <c r="H125" s="10"/>
      <c r="I125" s="11"/>
      <c r="J125" s="11"/>
      <c r="K125" s="10"/>
      <c r="L125" s="17"/>
      <c r="M125" s="13" t="str">
        <f t="shared" si="1"/>
        <v/>
      </c>
      <c r="N125" s="13" t="str">
        <f t="shared" si="2"/>
        <v/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6"/>
      <c r="C126" s="7"/>
      <c r="D126" s="8"/>
      <c r="E126" s="9"/>
      <c r="F126" s="10"/>
      <c r="G126" s="10"/>
      <c r="H126" s="10"/>
      <c r="I126" s="11"/>
      <c r="J126" s="11"/>
      <c r="K126" s="10"/>
      <c r="L126" s="17"/>
      <c r="M126" s="13" t="str">
        <f t="shared" si="1"/>
        <v/>
      </c>
      <c r="N126" s="13" t="str">
        <f t="shared" si="2"/>
        <v/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6"/>
      <c r="C127" s="7"/>
      <c r="D127" s="18"/>
      <c r="E127" s="9"/>
      <c r="F127" s="10"/>
      <c r="G127" s="10"/>
      <c r="H127" s="10"/>
      <c r="I127" s="11"/>
      <c r="J127" s="11"/>
      <c r="K127" s="10"/>
      <c r="L127" s="17"/>
      <c r="M127" s="13" t="str">
        <f t="shared" si="1"/>
        <v/>
      </c>
      <c r="N127" s="13" t="str">
        <f t="shared" si="2"/>
        <v/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6"/>
      <c r="C128" s="7"/>
      <c r="D128" s="14"/>
      <c r="E128" s="9"/>
      <c r="F128" s="10"/>
      <c r="G128" s="10"/>
      <c r="H128" s="10"/>
      <c r="I128" s="11"/>
      <c r="J128" s="11"/>
      <c r="K128" s="10"/>
      <c r="L128" s="17"/>
      <c r="M128" s="13" t="str">
        <f t="shared" si="1"/>
        <v/>
      </c>
      <c r="N128" s="13" t="str">
        <f t="shared" si="2"/>
        <v/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6"/>
      <c r="C129" s="7"/>
      <c r="D129" s="14"/>
      <c r="E129" s="9"/>
      <c r="F129" s="10"/>
      <c r="G129" s="10"/>
      <c r="H129" s="10"/>
      <c r="I129" s="11"/>
      <c r="J129" s="11"/>
      <c r="K129" s="10"/>
      <c r="L129" s="17"/>
      <c r="M129" s="13" t="str">
        <f t="shared" si="1"/>
        <v/>
      </c>
      <c r="N129" s="13" t="str">
        <f t="shared" si="2"/>
        <v/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6"/>
      <c r="C130" s="7"/>
      <c r="D130" s="8"/>
      <c r="E130" s="9"/>
      <c r="F130" s="10"/>
      <c r="G130" s="10"/>
      <c r="H130" s="10"/>
      <c r="I130" s="11"/>
      <c r="J130" s="11"/>
      <c r="K130" s="10"/>
      <c r="L130" s="17"/>
      <c r="M130" s="13" t="str">
        <f t="shared" si="1"/>
        <v/>
      </c>
      <c r="N130" s="13" t="str">
        <f t="shared" si="2"/>
        <v/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6"/>
      <c r="C131" s="7"/>
      <c r="D131" s="14"/>
      <c r="E131" s="9"/>
      <c r="F131" s="10"/>
      <c r="G131" s="10"/>
      <c r="H131" s="10"/>
      <c r="I131" s="11"/>
      <c r="J131" s="11"/>
      <c r="K131" s="10"/>
      <c r="L131" s="17"/>
      <c r="M131" s="13" t="str">
        <f t="shared" si="1"/>
        <v/>
      </c>
      <c r="N131" s="13" t="str">
        <f t="shared" si="2"/>
        <v/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6"/>
      <c r="C132" s="7"/>
      <c r="D132" s="18"/>
      <c r="E132" s="9"/>
      <c r="F132" s="10"/>
      <c r="G132" s="10"/>
      <c r="H132" s="10"/>
      <c r="I132" s="11"/>
      <c r="J132" s="11"/>
      <c r="K132" s="10"/>
      <c r="L132" s="17"/>
      <c r="M132" s="13" t="str">
        <f t="shared" si="1"/>
        <v/>
      </c>
      <c r="N132" s="13" t="str">
        <f t="shared" si="2"/>
        <v/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6"/>
      <c r="C133" s="7"/>
      <c r="D133" s="18"/>
      <c r="E133" s="9"/>
      <c r="F133" s="10"/>
      <c r="G133" s="10"/>
      <c r="H133" s="10"/>
      <c r="I133" s="11"/>
      <c r="J133" s="60"/>
      <c r="K133" s="10"/>
      <c r="L133" s="17"/>
      <c r="M133" s="13" t="str">
        <f t="shared" si="1"/>
        <v/>
      </c>
      <c r="N133" s="13" t="str">
        <f t="shared" si="2"/>
        <v/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6"/>
      <c r="C134" s="7"/>
      <c r="D134" s="14"/>
      <c r="E134" s="9"/>
      <c r="F134" s="10"/>
      <c r="G134" s="10"/>
      <c r="H134" s="10"/>
      <c r="I134" s="11"/>
      <c r="J134" s="11"/>
      <c r="K134" s="10"/>
      <c r="L134" s="17"/>
      <c r="M134" s="13" t="str">
        <f t="shared" si="1"/>
        <v/>
      </c>
      <c r="N134" s="13" t="str">
        <f t="shared" si="2"/>
        <v/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6"/>
      <c r="C135" s="7"/>
      <c r="D135" s="21"/>
      <c r="E135" s="9"/>
      <c r="F135" s="10"/>
      <c r="G135" s="10"/>
      <c r="H135" s="10"/>
      <c r="I135" s="19"/>
      <c r="J135" s="15"/>
      <c r="K135" s="12"/>
      <c r="L135" s="17"/>
      <c r="M135" s="13" t="str">
        <f t="shared" si="1"/>
        <v/>
      </c>
      <c r="N135" s="13" t="str">
        <f t="shared" si="2"/>
        <v/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6"/>
      <c r="C136" s="7"/>
      <c r="D136" s="8"/>
      <c r="E136" s="9"/>
      <c r="F136" s="10"/>
      <c r="G136" s="10"/>
      <c r="H136" s="10"/>
      <c r="I136" s="19"/>
      <c r="J136" s="11"/>
      <c r="K136" s="10"/>
      <c r="L136" s="17"/>
      <c r="M136" s="13" t="str">
        <f t="shared" si="1"/>
        <v/>
      </c>
      <c r="N136" s="13" t="str">
        <f t="shared" si="2"/>
        <v/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6"/>
      <c r="C137" s="7"/>
      <c r="D137" s="8"/>
      <c r="E137" s="9"/>
      <c r="F137" s="10"/>
      <c r="G137" s="10"/>
      <c r="H137" s="10"/>
      <c r="I137" s="11"/>
      <c r="J137" s="11"/>
      <c r="K137" s="10"/>
      <c r="L137" s="17"/>
      <c r="M137" s="13" t="str">
        <f t="shared" si="1"/>
        <v/>
      </c>
      <c r="N137" s="13" t="str">
        <f t="shared" si="2"/>
        <v/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6"/>
      <c r="C138" s="7"/>
      <c r="D138" s="14"/>
      <c r="E138" s="9"/>
      <c r="F138" s="10"/>
      <c r="G138" s="10"/>
      <c r="H138" s="10"/>
      <c r="I138" s="11"/>
      <c r="J138" s="11"/>
      <c r="K138" s="10"/>
      <c r="L138" s="17"/>
      <c r="M138" s="13" t="str">
        <f t="shared" si="1"/>
        <v/>
      </c>
      <c r="N138" s="13" t="str">
        <f t="shared" si="2"/>
        <v/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6"/>
      <c r="C139" s="7"/>
      <c r="D139" s="18"/>
      <c r="E139" s="9"/>
      <c r="F139" s="10"/>
      <c r="G139" s="10"/>
      <c r="H139" s="10"/>
      <c r="I139" s="11"/>
      <c r="J139" s="11"/>
      <c r="K139" s="10"/>
      <c r="L139" s="17"/>
      <c r="M139" s="13" t="str">
        <f t="shared" si="1"/>
        <v/>
      </c>
      <c r="N139" s="13" t="str">
        <f t="shared" si="2"/>
        <v/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6"/>
      <c r="C140" s="7"/>
      <c r="D140" s="21"/>
      <c r="E140" s="9"/>
      <c r="F140" s="10"/>
      <c r="G140" s="10"/>
      <c r="H140" s="10"/>
      <c r="I140" s="19"/>
      <c r="J140" s="60"/>
      <c r="K140" s="10"/>
      <c r="L140" s="17"/>
      <c r="M140" s="13" t="str">
        <f t="shared" si="1"/>
        <v/>
      </c>
      <c r="N140" s="13" t="str">
        <f t="shared" si="2"/>
        <v/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6"/>
      <c r="C141" s="7"/>
      <c r="D141" s="8"/>
      <c r="E141" s="9"/>
      <c r="F141" s="10"/>
      <c r="G141" s="10"/>
      <c r="H141" s="10"/>
      <c r="I141" s="11"/>
      <c r="J141" s="11"/>
      <c r="K141" s="10"/>
      <c r="L141" s="17"/>
      <c r="M141" s="13" t="str">
        <f t="shared" si="1"/>
        <v/>
      </c>
      <c r="N141" s="13" t="str">
        <f t="shared" si="2"/>
        <v/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6"/>
      <c r="C142" s="7"/>
      <c r="D142" s="14"/>
      <c r="E142" s="9"/>
      <c r="F142" s="10"/>
      <c r="G142" s="10"/>
      <c r="H142" s="10"/>
      <c r="I142" s="11"/>
      <c r="J142" s="11"/>
      <c r="K142" s="10"/>
      <c r="L142" s="17"/>
      <c r="M142" s="13" t="str">
        <f t="shared" si="1"/>
        <v/>
      </c>
      <c r="N142" s="13" t="str">
        <f t="shared" si="2"/>
        <v/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6"/>
      <c r="C143" s="7"/>
      <c r="D143" s="8"/>
      <c r="E143" s="9"/>
      <c r="F143" s="10"/>
      <c r="G143" s="10"/>
      <c r="H143" s="10"/>
      <c r="I143" s="11"/>
      <c r="J143" s="11"/>
      <c r="K143" s="10"/>
      <c r="L143" s="17"/>
      <c r="M143" s="13" t="str">
        <f t="shared" si="1"/>
        <v/>
      </c>
      <c r="N143" s="13" t="str">
        <f t="shared" si="2"/>
        <v/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6"/>
      <c r="C144" s="7"/>
      <c r="D144" s="18"/>
      <c r="E144" s="9"/>
      <c r="F144" s="10"/>
      <c r="G144" s="10"/>
      <c r="H144" s="10"/>
      <c r="I144" s="11"/>
      <c r="J144" s="11"/>
      <c r="K144" s="10"/>
      <c r="L144" s="17"/>
      <c r="M144" s="13" t="str">
        <f t="shared" si="1"/>
        <v/>
      </c>
      <c r="N144" s="13" t="str">
        <f t="shared" si="2"/>
        <v/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6"/>
      <c r="C145" s="30"/>
      <c r="D145" s="8"/>
      <c r="E145" s="9"/>
      <c r="F145" s="10"/>
      <c r="G145" s="10"/>
      <c r="H145" s="10"/>
      <c r="I145" s="11"/>
      <c r="J145" s="11"/>
      <c r="K145" s="10"/>
      <c r="L145" s="17"/>
      <c r="M145" s="13" t="str">
        <f t="shared" si="1"/>
        <v/>
      </c>
      <c r="N145" s="13" t="str">
        <f t="shared" si="2"/>
        <v/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6"/>
      <c r="C146" s="30"/>
      <c r="D146" s="14"/>
      <c r="E146" s="9"/>
      <c r="F146" s="10"/>
      <c r="G146" s="10"/>
      <c r="H146" s="10"/>
      <c r="I146" s="11"/>
      <c r="J146" s="11"/>
      <c r="K146" s="10"/>
      <c r="L146" s="17"/>
      <c r="M146" s="13" t="str">
        <f t="shared" si="1"/>
        <v/>
      </c>
      <c r="N146" s="13" t="str">
        <f t="shared" si="2"/>
        <v/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6"/>
      <c r="C147" s="30"/>
      <c r="D147" s="21"/>
      <c r="E147" s="9"/>
      <c r="F147" s="10"/>
      <c r="G147" s="10"/>
      <c r="H147" s="10"/>
      <c r="I147" s="19"/>
      <c r="J147" s="11"/>
      <c r="K147" s="10"/>
      <c r="L147" s="17"/>
      <c r="M147" s="13" t="str">
        <f t="shared" si="1"/>
        <v/>
      </c>
      <c r="N147" s="13" t="str">
        <f t="shared" si="2"/>
        <v/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6"/>
      <c r="C148" s="30"/>
      <c r="D148" s="14"/>
      <c r="E148" s="9"/>
      <c r="F148" s="10"/>
      <c r="G148" s="10"/>
      <c r="H148" s="10"/>
      <c r="I148" s="11"/>
      <c r="J148" s="11"/>
      <c r="K148" s="10"/>
      <c r="L148" s="17"/>
      <c r="M148" s="13" t="str">
        <f t="shared" si="1"/>
        <v/>
      </c>
      <c r="N148" s="13" t="str">
        <f t="shared" si="2"/>
        <v/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6"/>
      <c r="C149" s="7"/>
      <c r="D149" s="21"/>
      <c r="E149" s="9"/>
      <c r="F149" s="10"/>
      <c r="G149" s="10"/>
      <c r="H149" s="10"/>
      <c r="I149" s="11"/>
      <c r="J149" s="11"/>
      <c r="K149" s="10"/>
      <c r="L149" s="17"/>
      <c r="M149" s="13" t="str">
        <f t="shared" si="1"/>
        <v/>
      </c>
      <c r="N149" s="13" t="str">
        <f t="shared" si="2"/>
        <v/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6"/>
      <c r="C150" s="7"/>
      <c r="D150" s="14"/>
      <c r="E150" s="9"/>
      <c r="F150" s="10"/>
      <c r="G150" s="10"/>
      <c r="H150" s="10"/>
      <c r="I150" s="11"/>
      <c r="J150" s="11"/>
      <c r="K150" s="10"/>
      <c r="L150" s="17"/>
      <c r="M150" s="13" t="str">
        <f t="shared" si="1"/>
        <v/>
      </c>
      <c r="N150" s="13" t="str">
        <f t="shared" si="2"/>
        <v/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0"/>
      <c r="C151" s="31"/>
      <c r="D151" s="8"/>
      <c r="E151" s="9"/>
      <c r="F151" s="10"/>
      <c r="G151" s="10"/>
      <c r="H151" s="10"/>
      <c r="I151" s="19"/>
      <c r="J151" s="11"/>
      <c r="K151" s="10"/>
      <c r="L151" s="17"/>
      <c r="M151" s="13" t="str">
        <f t="shared" si="1"/>
        <v/>
      </c>
      <c r="N151" s="13" t="str">
        <f t="shared" si="2"/>
        <v/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0"/>
      <c r="C152" s="31"/>
      <c r="D152" s="14"/>
      <c r="E152" s="9"/>
      <c r="F152" s="10"/>
      <c r="G152" s="10"/>
      <c r="H152" s="10"/>
      <c r="I152" s="11"/>
      <c r="J152" s="11"/>
      <c r="K152" s="10"/>
      <c r="L152" s="17"/>
      <c r="M152" s="13" t="str">
        <f t="shared" si="1"/>
        <v/>
      </c>
      <c r="N152" s="13" t="str">
        <f t="shared" si="2"/>
        <v/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2"/>
      <c r="C153" s="30"/>
      <c r="D153" s="8"/>
      <c r="E153" s="9"/>
      <c r="F153" s="10"/>
      <c r="G153" s="10"/>
      <c r="H153" s="10"/>
      <c r="I153" s="11"/>
      <c r="J153" s="11"/>
      <c r="K153" s="12"/>
      <c r="L153" s="17"/>
      <c r="M153" s="13" t="str">
        <f t="shared" si="1"/>
        <v/>
      </c>
      <c r="N153" s="13" t="str">
        <f t="shared" si="2"/>
        <v/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2"/>
      <c r="C154" s="30"/>
      <c r="D154" s="8"/>
      <c r="E154" s="9"/>
      <c r="F154" s="10"/>
      <c r="G154" s="10"/>
      <c r="H154" s="10"/>
      <c r="I154" s="11"/>
      <c r="J154" s="15"/>
      <c r="K154" s="12"/>
      <c r="L154" s="17"/>
      <c r="M154" s="13" t="str">
        <f t="shared" si="1"/>
        <v/>
      </c>
      <c r="N154" s="13" t="str">
        <f t="shared" si="2"/>
        <v/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2"/>
      <c r="C155" s="30"/>
      <c r="D155" s="8"/>
      <c r="E155" s="9"/>
      <c r="F155" s="10"/>
      <c r="G155" s="10"/>
      <c r="H155" s="10"/>
      <c r="I155" s="11"/>
      <c r="J155" s="11"/>
      <c r="K155" s="12"/>
      <c r="L155" s="17"/>
      <c r="M155" s="13" t="str">
        <f t="shared" si="1"/>
        <v/>
      </c>
      <c r="N155" s="13" t="str">
        <f t="shared" si="2"/>
        <v/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0"/>
      <c r="C156" s="31"/>
      <c r="D156" s="8"/>
      <c r="E156" s="9"/>
      <c r="F156" s="10"/>
      <c r="G156" s="10"/>
      <c r="H156" s="10"/>
      <c r="I156" s="11"/>
      <c r="J156" s="11"/>
      <c r="K156" s="10"/>
      <c r="L156" s="17"/>
      <c r="M156" s="13" t="str">
        <f t="shared" si="1"/>
        <v/>
      </c>
      <c r="N156" s="13" t="str">
        <f t="shared" si="2"/>
        <v/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0"/>
      <c r="C157" s="31"/>
      <c r="D157" s="14"/>
      <c r="E157" s="9"/>
      <c r="F157" s="10"/>
      <c r="G157" s="10"/>
      <c r="H157" s="10"/>
      <c r="I157" s="11"/>
      <c r="J157" s="11"/>
      <c r="K157" s="12"/>
      <c r="L157" s="17"/>
      <c r="M157" s="13" t="str">
        <f t="shared" si="1"/>
        <v/>
      </c>
      <c r="N157" s="13" t="str">
        <f t="shared" si="2"/>
        <v/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2"/>
      <c r="C158" s="30"/>
      <c r="D158" s="8"/>
      <c r="E158" s="9"/>
      <c r="F158" s="10"/>
      <c r="G158" s="12"/>
      <c r="H158" s="12"/>
      <c r="I158" s="11"/>
      <c r="J158" s="32"/>
      <c r="K158" s="12"/>
      <c r="L158" s="17"/>
      <c r="M158" s="13" t="str">
        <f t="shared" si="1"/>
        <v/>
      </c>
      <c r="N158" s="13" t="str">
        <f t="shared" si="2"/>
        <v/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2"/>
      <c r="C159" s="30"/>
      <c r="D159" s="33"/>
      <c r="E159" s="9"/>
      <c r="F159" s="10"/>
      <c r="G159" s="12"/>
      <c r="H159" s="12"/>
      <c r="I159" s="11"/>
      <c r="J159" s="11"/>
      <c r="K159" s="12"/>
      <c r="L159" s="17"/>
      <c r="M159" s="13" t="str">
        <f t="shared" si="1"/>
        <v/>
      </c>
      <c r="N159" s="13" t="str">
        <f t="shared" si="2"/>
        <v/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2"/>
      <c r="C160" s="30"/>
      <c r="D160" s="34"/>
      <c r="E160" s="9"/>
      <c r="F160" s="10"/>
      <c r="G160" s="12"/>
      <c r="H160" s="12"/>
      <c r="I160" s="11"/>
      <c r="J160" s="11"/>
      <c r="K160" s="12"/>
      <c r="L160" s="17"/>
      <c r="M160" s="13" t="str">
        <f t="shared" si="1"/>
        <v/>
      </c>
      <c r="N160" s="13" t="str">
        <f t="shared" si="2"/>
        <v/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2"/>
      <c r="C161" s="30"/>
      <c r="D161" s="34"/>
      <c r="E161" s="9"/>
      <c r="F161" s="10"/>
      <c r="G161" s="12"/>
      <c r="H161" s="12"/>
      <c r="I161" s="11"/>
      <c r="J161" s="35"/>
      <c r="K161" s="12"/>
      <c r="L161" s="17"/>
      <c r="M161" s="13" t="str">
        <f t="shared" si="1"/>
        <v/>
      </c>
      <c r="N161" s="13" t="str">
        <f t="shared" si="2"/>
        <v/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2"/>
      <c r="C162" s="30"/>
      <c r="D162" s="34"/>
      <c r="E162" s="9"/>
      <c r="F162" s="10"/>
      <c r="G162" s="12"/>
      <c r="H162" s="12"/>
      <c r="I162" s="11"/>
      <c r="J162" s="15"/>
      <c r="K162" s="12"/>
      <c r="L162" s="17"/>
      <c r="M162" s="13" t="str">
        <f t="shared" si="1"/>
        <v/>
      </c>
      <c r="N162" s="13" t="str">
        <f t="shared" si="2"/>
        <v/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2"/>
      <c r="C163" s="30"/>
      <c r="D163" s="34"/>
      <c r="E163" s="9"/>
      <c r="F163" s="10"/>
      <c r="G163" s="12"/>
      <c r="H163" s="12"/>
      <c r="I163" s="11"/>
      <c r="J163" s="15"/>
      <c r="K163" s="12"/>
      <c r="L163" s="17"/>
      <c r="M163" s="13" t="str">
        <f t="shared" si="1"/>
        <v/>
      </c>
      <c r="N163" s="13" t="str">
        <f t="shared" si="2"/>
        <v/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2"/>
      <c r="C164" s="30"/>
      <c r="D164" s="14"/>
      <c r="E164" s="9"/>
      <c r="F164" s="10"/>
      <c r="G164" s="12"/>
      <c r="H164" s="12"/>
      <c r="I164" s="11"/>
      <c r="J164" s="15"/>
      <c r="K164" s="12"/>
      <c r="L164" s="17"/>
      <c r="M164" s="13" t="str">
        <f t="shared" si="1"/>
        <v/>
      </c>
      <c r="N164" s="13" t="str">
        <f t="shared" si="2"/>
        <v/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2"/>
      <c r="C165" s="30"/>
      <c r="D165" s="14"/>
      <c r="E165" s="9"/>
      <c r="F165" s="10"/>
      <c r="G165" s="12"/>
      <c r="H165" s="12"/>
      <c r="I165" s="11"/>
      <c r="J165" s="15"/>
      <c r="K165" s="12"/>
      <c r="L165" s="17"/>
      <c r="M165" s="13" t="str">
        <f t="shared" si="1"/>
        <v/>
      </c>
      <c r="N165" s="13" t="str">
        <f t="shared" si="2"/>
        <v/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2"/>
      <c r="C166" s="30"/>
      <c r="D166" s="34"/>
      <c r="E166" s="9"/>
      <c r="F166" s="10"/>
      <c r="G166" s="12"/>
      <c r="H166" s="12"/>
      <c r="I166" s="11"/>
      <c r="J166" s="15"/>
      <c r="K166" s="12"/>
      <c r="L166" s="17"/>
      <c r="M166" s="13" t="str">
        <f t="shared" si="1"/>
        <v/>
      </c>
      <c r="N166" s="13" t="str">
        <f t="shared" si="2"/>
        <v/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2"/>
      <c r="C167" s="30"/>
      <c r="D167" s="14"/>
      <c r="E167" s="9"/>
      <c r="F167" s="10"/>
      <c r="G167" s="12"/>
      <c r="H167" s="12"/>
      <c r="I167" s="11"/>
      <c r="J167" s="15"/>
      <c r="K167" s="12"/>
      <c r="L167" s="17"/>
      <c r="M167" s="13" t="str">
        <f t="shared" si="1"/>
        <v/>
      </c>
      <c r="N167" s="13" t="str">
        <f t="shared" si="2"/>
        <v/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2"/>
      <c r="C168" s="30"/>
      <c r="D168" s="34"/>
      <c r="E168" s="9"/>
      <c r="F168" s="10"/>
      <c r="G168" s="12"/>
      <c r="H168" s="12"/>
      <c r="I168" s="11"/>
      <c r="J168" s="15"/>
      <c r="K168" s="12"/>
      <c r="L168" s="17"/>
      <c r="M168" s="13" t="str">
        <f t="shared" si="1"/>
        <v/>
      </c>
      <c r="N168" s="13" t="str">
        <f t="shared" si="2"/>
        <v/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2"/>
      <c r="C169" s="30"/>
      <c r="D169" s="34"/>
      <c r="E169" s="9"/>
      <c r="F169" s="10"/>
      <c r="G169" s="12"/>
      <c r="H169" s="12"/>
      <c r="I169" s="45"/>
      <c r="J169" s="15"/>
      <c r="K169" s="12"/>
      <c r="L169" s="17"/>
      <c r="M169" s="13" t="str">
        <f t="shared" si="1"/>
        <v/>
      </c>
      <c r="N169" s="13" t="str">
        <f t="shared" si="2"/>
        <v/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2"/>
      <c r="C170" s="30"/>
      <c r="D170" s="14"/>
      <c r="E170" s="9"/>
      <c r="F170" s="10"/>
      <c r="G170" s="12"/>
      <c r="H170" s="12"/>
      <c r="I170" s="11"/>
      <c r="J170" s="15"/>
      <c r="K170" s="12"/>
      <c r="L170" s="17"/>
      <c r="M170" s="13" t="str">
        <f t="shared" si="1"/>
        <v/>
      </c>
      <c r="N170" s="13" t="str">
        <f t="shared" si="2"/>
        <v/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2"/>
      <c r="C171" s="30"/>
      <c r="D171" s="14"/>
      <c r="E171" s="9"/>
      <c r="F171" s="10"/>
      <c r="G171" s="12"/>
      <c r="H171" s="12"/>
      <c r="I171" s="11"/>
      <c r="J171" s="15"/>
      <c r="K171" s="12"/>
      <c r="L171" s="17"/>
      <c r="M171" s="13" t="str">
        <f t="shared" si="1"/>
        <v/>
      </c>
      <c r="N171" s="13" t="str">
        <f t="shared" si="2"/>
        <v/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2"/>
      <c r="C172" s="30"/>
      <c r="D172" s="18"/>
      <c r="E172" s="9"/>
      <c r="F172" s="10"/>
      <c r="G172" s="12"/>
      <c r="H172" s="12"/>
      <c r="I172" s="11"/>
      <c r="J172" s="15"/>
      <c r="K172" s="12"/>
      <c r="L172" s="17"/>
      <c r="M172" s="13" t="str">
        <f t="shared" si="1"/>
        <v/>
      </c>
      <c r="N172" s="13" t="str">
        <f t="shared" si="2"/>
        <v/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2"/>
      <c r="C173" s="30"/>
      <c r="D173" s="14"/>
      <c r="E173" s="9"/>
      <c r="F173" s="10"/>
      <c r="G173" s="12"/>
      <c r="H173" s="12"/>
      <c r="I173" s="11"/>
      <c r="J173" s="15"/>
      <c r="K173" s="12"/>
      <c r="L173" s="17"/>
      <c r="M173" s="13" t="str">
        <f t="shared" si="1"/>
        <v/>
      </c>
      <c r="N173" s="13" t="str">
        <f t="shared" si="2"/>
        <v/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2"/>
      <c r="C174" s="30"/>
      <c r="D174" s="14"/>
      <c r="E174" s="9"/>
      <c r="F174" s="10"/>
      <c r="G174" s="12"/>
      <c r="H174" s="12"/>
      <c r="I174" s="11"/>
      <c r="J174" s="15"/>
      <c r="K174" s="12"/>
      <c r="L174" s="17"/>
      <c r="M174" s="13" t="str">
        <f t="shared" si="1"/>
        <v/>
      </c>
      <c r="N174" s="13" t="str">
        <f t="shared" si="2"/>
        <v/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2"/>
      <c r="C175" s="30"/>
      <c r="D175" s="14"/>
      <c r="E175" s="9"/>
      <c r="F175" s="10"/>
      <c r="G175" s="12"/>
      <c r="H175" s="12"/>
      <c r="I175" s="11"/>
      <c r="J175" s="15"/>
      <c r="K175" s="12"/>
      <c r="L175" s="17"/>
      <c r="M175" s="13" t="str">
        <f t="shared" si="1"/>
        <v/>
      </c>
      <c r="N175" s="13" t="str">
        <f t="shared" si="2"/>
        <v/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7"/>
      <c r="C176" s="61"/>
      <c r="D176" s="18"/>
      <c r="E176" s="62"/>
      <c r="F176" s="58"/>
      <c r="G176" s="17"/>
      <c r="H176" s="17"/>
      <c r="I176" s="60"/>
      <c r="J176" s="35"/>
      <c r="K176" s="17"/>
      <c r="L176" s="17"/>
      <c r="M176" s="13" t="str">
        <f t="shared" si="1"/>
        <v/>
      </c>
      <c r="N176" s="13" t="str">
        <f t="shared" si="2"/>
        <v/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7"/>
      <c r="C177" s="61"/>
      <c r="D177" s="18"/>
      <c r="E177" s="62"/>
      <c r="F177" s="58"/>
      <c r="G177" s="17"/>
      <c r="H177" s="17"/>
      <c r="I177" s="60"/>
      <c r="J177" s="35"/>
      <c r="K177" s="17"/>
      <c r="L177" s="17"/>
      <c r="M177" s="13" t="str">
        <f t="shared" si="1"/>
        <v/>
      </c>
      <c r="N177" s="13" t="str">
        <f t="shared" si="2"/>
        <v/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7"/>
      <c r="C178" s="61"/>
      <c r="D178" s="18"/>
      <c r="E178" s="62"/>
      <c r="F178" s="58"/>
      <c r="G178" s="17"/>
      <c r="H178" s="17"/>
      <c r="I178" s="60"/>
      <c r="J178" s="35"/>
      <c r="K178" s="17"/>
      <c r="L178" s="17"/>
      <c r="M178" s="13" t="str">
        <f t="shared" si="1"/>
        <v/>
      </c>
      <c r="N178" s="13" t="str">
        <f t="shared" si="2"/>
        <v/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7"/>
      <c r="C179" s="61"/>
      <c r="D179" s="18"/>
      <c r="E179" s="62"/>
      <c r="F179" s="58"/>
      <c r="G179" s="17"/>
      <c r="H179" s="17"/>
      <c r="I179" s="60"/>
      <c r="J179" s="35"/>
      <c r="K179" s="17"/>
      <c r="L179" s="17"/>
      <c r="M179" s="13" t="str">
        <f t="shared" si="1"/>
        <v/>
      </c>
      <c r="N179" s="13" t="str">
        <f t="shared" si="2"/>
        <v/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7"/>
      <c r="C180" s="61"/>
      <c r="D180" s="18"/>
      <c r="E180" s="62"/>
      <c r="F180" s="58"/>
      <c r="G180" s="17"/>
      <c r="H180" s="17"/>
      <c r="I180" s="60"/>
      <c r="J180" s="35"/>
      <c r="K180" s="17"/>
      <c r="L180" s="17"/>
      <c r="M180" s="13" t="str">
        <f t="shared" si="1"/>
        <v/>
      </c>
      <c r="N180" s="13" t="str">
        <f t="shared" si="2"/>
        <v/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7"/>
      <c r="C181" s="61"/>
      <c r="D181" s="18"/>
      <c r="E181" s="62"/>
      <c r="F181" s="58"/>
      <c r="G181" s="17"/>
      <c r="H181" s="17"/>
      <c r="I181" s="60"/>
      <c r="J181" s="35"/>
      <c r="K181" s="17"/>
      <c r="L181" s="17"/>
      <c r="M181" s="13" t="str">
        <f t="shared" si="1"/>
        <v/>
      </c>
      <c r="N181" s="13" t="str">
        <f t="shared" si="2"/>
        <v/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7"/>
      <c r="C182" s="61"/>
      <c r="D182" s="18"/>
      <c r="E182" s="62"/>
      <c r="F182" s="58"/>
      <c r="G182" s="17"/>
      <c r="H182" s="17"/>
      <c r="I182" s="60"/>
      <c r="J182" s="35"/>
      <c r="K182" s="17"/>
      <c r="L182" s="17"/>
      <c r="M182" s="13" t="str">
        <f t="shared" si="1"/>
        <v/>
      </c>
      <c r="N182" s="13" t="str">
        <f t="shared" si="2"/>
        <v/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7"/>
      <c r="C183" s="61"/>
      <c r="D183" s="18"/>
      <c r="E183" s="62"/>
      <c r="F183" s="58"/>
      <c r="G183" s="17"/>
      <c r="H183" s="17"/>
      <c r="I183" s="60"/>
      <c r="J183" s="35"/>
      <c r="K183" s="17"/>
      <c r="L183" s="17"/>
      <c r="M183" s="13" t="str">
        <f t="shared" si="1"/>
        <v/>
      </c>
      <c r="N183" s="13" t="str">
        <f t="shared" si="2"/>
        <v/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7"/>
      <c r="C184" s="61"/>
      <c r="D184" s="18"/>
      <c r="E184" s="62"/>
      <c r="F184" s="58"/>
      <c r="G184" s="17"/>
      <c r="H184" s="17"/>
      <c r="I184" s="60"/>
      <c r="J184" s="35"/>
      <c r="K184" s="17"/>
      <c r="L184" s="17"/>
      <c r="M184" s="13" t="str">
        <f t="shared" si="1"/>
        <v/>
      </c>
      <c r="N184" s="13" t="str">
        <f t="shared" si="2"/>
        <v/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7"/>
      <c r="C185" s="61"/>
      <c r="D185" s="18"/>
      <c r="E185" s="62"/>
      <c r="F185" s="58"/>
      <c r="G185" s="17"/>
      <c r="H185" s="17"/>
      <c r="I185" s="60"/>
      <c r="J185" s="35"/>
      <c r="K185" s="17"/>
      <c r="L185" s="17"/>
      <c r="M185" s="13" t="str">
        <f t="shared" si="1"/>
        <v/>
      </c>
      <c r="N185" s="13" t="str">
        <f t="shared" si="2"/>
        <v/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7"/>
      <c r="C186" s="61"/>
      <c r="D186" s="18"/>
      <c r="E186" s="62"/>
      <c r="F186" s="58"/>
      <c r="G186" s="17"/>
      <c r="H186" s="17"/>
      <c r="I186" s="60"/>
      <c r="J186" s="35"/>
      <c r="K186" s="17"/>
      <c r="L186" s="17"/>
      <c r="M186" s="13" t="str">
        <f t="shared" si="1"/>
        <v/>
      </c>
      <c r="N186" s="13" t="str">
        <f t="shared" si="2"/>
        <v/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7"/>
      <c r="C187" s="61"/>
      <c r="D187" s="18"/>
      <c r="E187" s="62"/>
      <c r="F187" s="58"/>
      <c r="G187" s="17"/>
      <c r="H187" s="17"/>
      <c r="I187" s="60"/>
      <c r="J187" s="35"/>
      <c r="K187" s="17"/>
      <c r="L187" s="17"/>
      <c r="M187" s="13" t="str">
        <f t="shared" si="1"/>
        <v/>
      </c>
      <c r="N187" s="13" t="str">
        <f t="shared" si="2"/>
        <v/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7"/>
      <c r="C188" s="61"/>
      <c r="D188" s="18"/>
      <c r="E188" s="62"/>
      <c r="F188" s="58"/>
      <c r="G188" s="17"/>
      <c r="H188" s="17"/>
      <c r="I188" s="60"/>
      <c r="J188" s="35"/>
      <c r="K188" s="17"/>
      <c r="L188" s="17"/>
      <c r="M188" s="13" t="str">
        <f t="shared" si="1"/>
        <v/>
      </c>
      <c r="N188" s="13" t="str">
        <f t="shared" si="2"/>
        <v/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7"/>
      <c r="C189" s="61"/>
      <c r="D189" s="18"/>
      <c r="E189" s="62"/>
      <c r="F189" s="58"/>
      <c r="G189" s="17"/>
      <c r="H189" s="17"/>
      <c r="I189" s="60"/>
      <c r="J189" s="35"/>
      <c r="K189" s="17"/>
      <c r="L189" s="17"/>
      <c r="M189" s="13" t="str">
        <f t="shared" si="1"/>
        <v/>
      </c>
      <c r="N189" s="13" t="str">
        <f t="shared" si="2"/>
        <v/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7"/>
      <c r="C190" s="61"/>
      <c r="D190" s="18"/>
      <c r="E190" s="62"/>
      <c r="F190" s="58"/>
      <c r="G190" s="17"/>
      <c r="H190" s="17"/>
      <c r="I190" s="60"/>
      <c r="J190" s="35"/>
      <c r="K190" s="17"/>
      <c r="L190" s="17"/>
      <c r="M190" s="13" t="str">
        <f t="shared" si="1"/>
        <v/>
      </c>
      <c r="N190" s="13" t="str">
        <f t="shared" si="2"/>
        <v/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7"/>
      <c r="C191" s="61"/>
      <c r="D191" s="18"/>
      <c r="E191" s="62"/>
      <c r="F191" s="58"/>
      <c r="G191" s="17"/>
      <c r="H191" s="17"/>
      <c r="I191" s="60"/>
      <c r="J191" s="35"/>
      <c r="K191" s="17"/>
      <c r="L191" s="17"/>
      <c r="M191" s="13" t="str">
        <f t="shared" si="1"/>
        <v/>
      </c>
      <c r="N191" s="13" t="str">
        <f t="shared" si="2"/>
        <v/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7"/>
      <c r="C192" s="61"/>
      <c r="D192" s="18"/>
      <c r="E192" s="62"/>
      <c r="F192" s="58"/>
      <c r="G192" s="17"/>
      <c r="H192" s="17"/>
      <c r="I192" s="60"/>
      <c r="J192" s="35"/>
      <c r="K192" s="17"/>
      <c r="L192" s="17"/>
      <c r="M192" s="13" t="str">
        <f t="shared" si="1"/>
        <v/>
      </c>
      <c r="N192" s="13" t="str">
        <f t="shared" si="2"/>
        <v/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7"/>
      <c r="C193" s="61"/>
      <c r="D193" s="18"/>
      <c r="E193" s="62"/>
      <c r="F193" s="58"/>
      <c r="G193" s="17"/>
      <c r="H193" s="17"/>
      <c r="I193" s="60"/>
      <c r="J193" s="35"/>
      <c r="K193" s="17"/>
      <c r="L193" s="17"/>
      <c r="M193" s="13" t="str">
        <f t="shared" si="1"/>
        <v/>
      </c>
      <c r="N193" s="13" t="str">
        <f t="shared" si="2"/>
        <v/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7"/>
      <c r="C194" s="61"/>
      <c r="D194" s="18"/>
      <c r="E194" s="62"/>
      <c r="F194" s="58"/>
      <c r="G194" s="17"/>
      <c r="H194" s="17"/>
      <c r="I194" s="60"/>
      <c r="J194" s="35"/>
      <c r="K194" s="17"/>
      <c r="L194" s="17"/>
      <c r="M194" s="13" t="str">
        <f t="shared" si="1"/>
        <v/>
      </c>
      <c r="N194" s="13" t="str">
        <f t="shared" si="2"/>
        <v/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7"/>
      <c r="C195" s="61"/>
      <c r="D195" s="18"/>
      <c r="E195" s="62"/>
      <c r="F195" s="58"/>
      <c r="G195" s="17"/>
      <c r="H195" s="17"/>
      <c r="I195" s="60"/>
      <c r="J195" s="35"/>
      <c r="K195" s="17"/>
      <c r="L195" s="17"/>
      <c r="M195" s="13" t="str">
        <f t="shared" si="1"/>
        <v/>
      </c>
      <c r="N195" s="13" t="str">
        <f t="shared" si="2"/>
        <v/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7"/>
      <c r="C196" s="61"/>
      <c r="D196" s="18"/>
      <c r="E196" s="62"/>
      <c r="F196" s="58"/>
      <c r="G196" s="17"/>
      <c r="H196" s="17"/>
      <c r="I196" s="60"/>
      <c r="J196" s="35"/>
      <c r="K196" s="17"/>
      <c r="L196" s="17"/>
      <c r="M196" s="13" t="str">
        <f t="shared" si="1"/>
        <v/>
      </c>
      <c r="N196" s="13" t="str">
        <f t="shared" si="2"/>
        <v/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7"/>
      <c r="C197" s="61"/>
      <c r="D197" s="18"/>
      <c r="E197" s="62"/>
      <c r="F197" s="58"/>
      <c r="G197" s="17"/>
      <c r="H197" s="17"/>
      <c r="I197" s="60"/>
      <c r="J197" s="35"/>
      <c r="K197" s="17"/>
      <c r="L197" s="17"/>
      <c r="M197" s="13" t="str">
        <f t="shared" si="1"/>
        <v/>
      </c>
      <c r="N197" s="13" t="str">
        <f t="shared" si="2"/>
        <v/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7"/>
      <c r="C198" s="61"/>
      <c r="D198" s="18"/>
      <c r="E198" s="62"/>
      <c r="F198" s="58"/>
      <c r="G198" s="17"/>
      <c r="H198" s="17"/>
      <c r="I198" s="60"/>
      <c r="J198" s="35"/>
      <c r="K198" s="17"/>
      <c r="L198" s="17"/>
      <c r="M198" s="13" t="str">
        <f t="shared" si="1"/>
        <v/>
      </c>
      <c r="N198" s="13" t="str">
        <f t="shared" si="2"/>
        <v/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7"/>
      <c r="C199" s="61"/>
      <c r="D199" s="18"/>
      <c r="E199" s="62"/>
      <c r="F199" s="58"/>
      <c r="G199" s="17"/>
      <c r="H199" s="17"/>
      <c r="I199" s="60"/>
      <c r="J199" s="35"/>
      <c r="K199" s="17"/>
      <c r="L199" s="17"/>
      <c r="M199" s="13" t="str">
        <f t="shared" si="1"/>
        <v/>
      </c>
      <c r="N199" s="13" t="str">
        <f t="shared" si="2"/>
        <v/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7"/>
      <c r="C200" s="61"/>
      <c r="D200" s="18"/>
      <c r="E200" s="62"/>
      <c r="F200" s="58"/>
      <c r="G200" s="17"/>
      <c r="H200" s="17"/>
      <c r="I200" s="60"/>
      <c r="J200" s="35"/>
      <c r="K200" s="17"/>
      <c r="L200" s="17"/>
      <c r="M200" s="13" t="str">
        <f t="shared" si="1"/>
        <v/>
      </c>
      <c r="N200" s="13" t="str">
        <f t="shared" si="2"/>
        <v/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dataValidations>
    <dataValidation type="list" allowBlank="1" showErrorMessage="1" sqref="B3:B200">
      <formula1>"comet pontedera,euronics corciano,euronics gavinana,euronics grosseto,euronics montecatini,euronics parco prato,mw agliana,mw collestrada,mw empoli,mw figline ,mw gigli,mw pisa,mw roma est,mw roma (porta di),mw roma primavera,all around"</formula1>
    </dataValidation>
    <dataValidation type="list" allowBlank="1" showErrorMessage="1" sqref="C3:C200">
      <formula1>"Adelina Meta,All Around,Anastasya Radecha,Emerson Espiritu,Emiliano Romei,Fabian Sulmina,Francesco Belmonte,Giovanni Giglio,Gloria La Giusa,Mariami Iashvili,Samir Uddin,Samuele Guido,Serenella Nacci,Simona Cucu,Simone Marra,Matteo Stefanelli,Nicole Gamboa"&amp;",Manuel Giuliani,Aissam El Moujaid,Silvia Saglimbeni,David John Gallo,Feris Rahmouni,Barbara Mattiacci"</formula1>
    </dataValidation>
    <dataValidation type="date" allowBlank="1" showDropDown="1" sqref="I3:I200">
      <formula1>46054.0</formula1>
      <formula2>46081.0</formula2>
    </dataValidation>
    <dataValidation type="date" allowBlank="1" showDropDown="1" showErrorMessage="1" sqref="J3:J200">
      <formula1>46054.0</formula1>
      <formula2>46081.0</formula2>
    </dataValidation>
    <dataValidation type="list" allowBlank="1" showErrorMessage="1" sqref="L3:L200">
      <formula1>"easy rent,passato da vf store,inserito mese precedente,subentro da abb consumer,annullato,soluzione digitale"</formula1>
    </dataValidation>
    <dataValidation type="list" allowBlank="1" showErrorMessage="1" sqref="K3:K200">
      <formula1>"sì,no"</formula1>
    </dataValidation>
    <dataValidation type="list" allowBlank="1" showErrorMessage="1" sqref="H3:H200">
      <formula1>"mobile comfort ,mobile smart,mobile ob,mobile red xs,fissa comfort,fissa smart,fissa ob,fissa total wireless,fissa fwa5g,fissa one net premium,easy rent"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6.5"/>
    <col customWidth="1" min="4" max="4" width="17.13"/>
    <col customWidth="1" min="5" max="5" width="15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8">
        <v>46054.0</v>
      </c>
      <c r="C2" s="39"/>
      <c r="D2" s="40"/>
      <c r="E2" s="2"/>
      <c r="F2" s="41" t="s">
        <v>292</v>
      </c>
      <c r="G2" s="3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2" t="s">
        <v>293</v>
      </c>
      <c r="C3" s="43">
        <v>28.0</v>
      </c>
      <c r="D3" s="40"/>
      <c r="E3" s="2"/>
      <c r="F3" s="42" t="s">
        <v>294</v>
      </c>
      <c r="G3" s="44">
        <f>D8*C3/C4</f>
        <v>30.66666667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2" t="s">
        <v>295</v>
      </c>
      <c r="C4" s="43">
        <v>21.0</v>
      </c>
      <c r="D4" s="40"/>
      <c r="E4" s="2"/>
      <c r="F4" s="42" t="s">
        <v>296</v>
      </c>
      <c r="G4" s="44">
        <f>D9*C3/C4</f>
        <v>56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4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4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4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4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4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4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4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40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40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40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40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4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40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40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40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4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4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4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4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4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4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4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4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4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4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4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4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4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4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4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4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4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4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4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4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4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4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4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4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4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4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4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4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4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4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4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4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4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4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4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4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4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4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4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4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4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4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4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4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4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4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4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4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4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4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4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4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4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4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4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4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4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4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4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4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4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4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4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4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4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4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4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</sheetData>
  <mergeCells count="2">
    <mergeCell ref="B2:C2"/>
    <mergeCell ref="F2:G2"/>
  </mergeCell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1.0"/>
    <col customWidth="1" min="3" max="3" width="21.88"/>
    <col customWidth="1" min="4" max="4" width="10.0"/>
    <col customWidth="1" min="5" max="5" width="12.0"/>
    <col customWidth="1" min="6" max="6" width="24.5"/>
    <col customWidth="1" min="7" max="7" width="19.5"/>
    <col customWidth="1" min="8" max="8" width="23.13"/>
    <col customWidth="1" min="9" max="10" width="10.13"/>
    <col customWidth="1" min="11" max="11" width="20.13"/>
    <col customWidth="1" min="12" max="12" width="25.13"/>
    <col customWidth="1" min="13" max="13" width="10.75"/>
    <col customWidth="1" min="14" max="14" width="11.13"/>
  </cols>
  <sheetData>
    <row r="1">
      <c r="A1" s="1" t="s">
        <v>1009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0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5" t="s">
        <v>1010</v>
      </c>
      <c r="L2" s="3" t="s">
        <v>10</v>
      </c>
      <c r="M2" s="3" t="s">
        <v>11</v>
      </c>
      <c r="N2" s="3" t="s">
        <v>12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6" t="s">
        <v>38</v>
      </c>
      <c r="C3" s="7" t="s">
        <v>39</v>
      </c>
      <c r="D3" s="8" t="s">
        <v>1011</v>
      </c>
      <c r="E3" s="9" t="s">
        <v>1012</v>
      </c>
      <c r="F3" s="10" t="s">
        <v>1013</v>
      </c>
      <c r="G3" s="10" t="s">
        <v>1014</v>
      </c>
      <c r="H3" s="10" t="s">
        <v>66</v>
      </c>
      <c r="I3" s="19">
        <v>46023.0</v>
      </c>
      <c r="J3" s="11">
        <v>46024.0</v>
      </c>
      <c r="K3" s="10" t="s">
        <v>20</v>
      </c>
      <c r="L3" s="12" t="s">
        <v>21</v>
      </c>
      <c r="M3" s="13" t="str">
        <f t="shared" ref="M3:M200" si="1">IF(H3="","", LEFT(H3,6))</f>
        <v>mobile</v>
      </c>
      <c r="N3" s="13" t="str">
        <f t="shared" ref="N3:N200" si="2">IF(J3="","",M3)</f>
        <v>mobile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" t="s">
        <v>38</v>
      </c>
      <c r="C4" s="7" t="s">
        <v>39</v>
      </c>
      <c r="D4" s="18"/>
      <c r="E4" s="9" t="s">
        <v>1012</v>
      </c>
      <c r="F4" s="10" t="s">
        <v>1013</v>
      </c>
      <c r="G4" s="10" t="s">
        <v>1015</v>
      </c>
      <c r="H4" s="10" t="s">
        <v>68</v>
      </c>
      <c r="I4" s="11">
        <v>46023.0</v>
      </c>
      <c r="J4" s="11">
        <v>46024.0</v>
      </c>
      <c r="K4" s="10" t="s">
        <v>20</v>
      </c>
      <c r="L4" s="12" t="s">
        <v>21</v>
      </c>
      <c r="M4" s="13" t="str">
        <f t="shared" si="1"/>
        <v>fissa </v>
      </c>
      <c r="N4" s="13" t="str">
        <f t="shared" si="2"/>
        <v>fissa 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6" t="s">
        <v>38</v>
      </c>
      <c r="C5" s="7" t="s">
        <v>39</v>
      </c>
      <c r="D5" s="8" t="s">
        <v>1016</v>
      </c>
      <c r="E5" s="9" t="s">
        <v>1017</v>
      </c>
      <c r="F5" s="10" t="s">
        <v>1018</v>
      </c>
      <c r="G5" s="9" t="s">
        <v>1019</v>
      </c>
      <c r="H5" s="10" t="s">
        <v>37</v>
      </c>
      <c r="I5" s="11">
        <v>46027.0</v>
      </c>
      <c r="J5" s="11">
        <v>46027.0</v>
      </c>
      <c r="K5" s="10" t="s">
        <v>20</v>
      </c>
      <c r="L5" s="17"/>
      <c r="M5" s="13" t="str">
        <f t="shared" si="1"/>
        <v>mobile</v>
      </c>
      <c r="N5" s="13" t="str">
        <f t="shared" si="2"/>
        <v>mobile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6" t="s">
        <v>38</v>
      </c>
      <c r="C6" s="7" t="s">
        <v>39</v>
      </c>
      <c r="D6" s="14" t="s">
        <v>1020</v>
      </c>
      <c r="E6" s="9" t="s">
        <v>1021</v>
      </c>
      <c r="F6" s="10" t="s">
        <v>1022</v>
      </c>
      <c r="G6" s="10" t="s">
        <v>1023</v>
      </c>
      <c r="H6" s="10" t="s">
        <v>66</v>
      </c>
      <c r="I6" s="11">
        <v>46027.0</v>
      </c>
      <c r="J6" s="15">
        <v>46029.0</v>
      </c>
      <c r="K6" s="12" t="s">
        <v>20</v>
      </c>
      <c r="L6" s="17"/>
      <c r="M6" s="13" t="str">
        <f t="shared" si="1"/>
        <v>mobile</v>
      </c>
      <c r="N6" s="13" t="str">
        <f t="shared" si="2"/>
        <v>mobile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" t="s">
        <v>38</v>
      </c>
      <c r="C7" s="7" t="s">
        <v>39</v>
      </c>
      <c r="D7" s="21"/>
      <c r="E7" s="9" t="s">
        <v>1021</v>
      </c>
      <c r="F7" s="10" t="s">
        <v>1022</v>
      </c>
      <c r="G7" s="10" t="s">
        <v>1024</v>
      </c>
      <c r="H7" s="10" t="s">
        <v>68</v>
      </c>
      <c r="I7" s="11">
        <v>46027.0</v>
      </c>
      <c r="J7" s="11">
        <v>46029.0</v>
      </c>
      <c r="K7" s="10" t="s">
        <v>20</v>
      </c>
      <c r="L7" s="17"/>
      <c r="M7" s="13" t="str">
        <f t="shared" si="1"/>
        <v>fissa </v>
      </c>
      <c r="N7" s="13" t="str">
        <f t="shared" si="2"/>
        <v>fissa 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6" t="s">
        <v>38</v>
      </c>
      <c r="C8" s="7" t="s">
        <v>39</v>
      </c>
      <c r="D8" s="21"/>
      <c r="E8" s="9" t="s">
        <v>1021</v>
      </c>
      <c r="F8" s="10" t="s">
        <v>1022</v>
      </c>
      <c r="G8" s="10" t="s">
        <v>1025</v>
      </c>
      <c r="H8" s="10" t="s">
        <v>25</v>
      </c>
      <c r="I8" s="11">
        <v>46027.0</v>
      </c>
      <c r="J8" s="11">
        <v>46029.0</v>
      </c>
      <c r="K8" s="10" t="s">
        <v>20</v>
      </c>
      <c r="L8" s="17"/>
      <c r="M8" s="13" t="str">
        <f t="shared" si="1"/>
        <v>mobile</v>
      </c>
      <c r="N8" s="13" t="str">
        <f t="shared" si="2"/>
        <v>mobile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38</v>
      </c>
      <c r="C9" s="7" t="s">
        <v>39</v>
      </c>
      <c r="D9" s="21"/>
      <c r="E9" s="9" t="s">
        <v>1021</v>
      </c>
      <c r="F9" s="10" t="s">
        <v>1022</v>
      </c>
      <c r="G9" s="10" t="s">
        <v>1026</v>
      </c>
      <c r="H9" s="10" t="s">
        <v>25</v>
      </c>
      <c r="I9" s="11">
        <v>46027.0</v>
      </c>
      <c r="J9" s="15">
        <v>46029.0</v>
      </c>
      <c r="K9" s="12" t="s">
        <v>20</v>
      </c>
      <c r="L9" s="17"/>
      <c r="M9" s="13" t="str">
        <f t="shared" si="1"/>
        <v>mobile</v>
      </c>
      <c r="N9" s="13" t="str">
        <f t="shared" si="2"/>
        <v>mobile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6" t="s">
        <v>207</v>
      </c>
      <c r="C10" s="7" t="s">
        <v>208</v>
      </c>
      <c r="D10" s="8" t="s">
        <v>1027</v>
      </c>
      <c r="E10" s="9" t="s">
        <v>864</v>
      </c>
      <c r="F10" s="10" t="s">
        <v>865</v>
      </c>
      <c r="G10" s="10" t="s">
        <v>1028</v>
      </c>
      <c r="H10" s="10" t="s">
        <v>25</v>
      </c>
      <c r="I10" s="19">
        <v>46027.0</v>
      </c>
      <c r="J10" s="11">
        <v>46027.0</v>
      </c>
      <c r="K10" s="10" t="s">
        <v>20</v>
      </c>
      <c r="L10" s="17"/>
      <c r="M10" s="13" t="str">
        <f t="shared" si="1"/>
        <v>mobile</v>
      </c>
      <c r="N10" s="13" t="str">
        <f t="shared" si="2"/>
        <v>mobile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6" t="s">
        <v>207</v>
      </c>
      <c r="C11" s="7" t="s">
        <v>208</v>
      </c>
      <c r="D11" s="21"/>
      <c r="E11" s="9" t="s">
        <v>864</v>
      </c>
      <c r="F11" s="10" t="s">
        <v>865</v>
      </c>
      <c r="G11" s="10" t="s">
        <v>1029</v>
      </c>
      <c r="H11" s="10" t="s">
        <v>25</v>
      </c>
      <c r="I11" s="11">
        <v>46027.0</v>
      </c>
      <c r="J11" s="11">
        <v>46027.0</v>
      </c>
      <c r="K11" s="10" t="s">
        <v>20</v>
      </c>
      <c r="L11" s="17"/>
      <c r="M11" s="13" t="str">
        <f t="shared" si="1"/>
        <v>mobile</v>
      </c>
      <c r="N11" s="13" t="str">
        <f t="shared" si="2"/>
        <v>mobile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6" t="s">
        <v>38</v>
      </c>
      <c r="C12" s="7" t="s">
        <v>39</v>
      </c>
      <c r="D12" s="16" t="s">
        <v>1030</v>
      </c>
      <c r="E12" s="9" t="s">
        <v>1021</v>
      </c>
      <c r="F12" s="10" t="s">
        <v>1022</v>
      </c>
      <c r="G12" s="10" t="s">
        <v>1031</v>
      </c>
      <c r="H12" s="10" t="s">
        <v>66</v>
      </c>
      <c r="I12" s="11">
        <v>46028.0</v>
      </c>
      <c r="J12" s="11">
        <v>46030.0</v>
      </c>
      <c r="K12" s="10" t="s">
        <v>20</v>
      </c>
      <c r="L12" s="17"/>
      <c r="M12" s="13" t="str">
        <f t="shared" si="1"/>
        <v>mobile</v>
      </c>
      <c r="N12" s="13" t="str">
        <f t="shared" si="2"/>
        <v>mobile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" t="s">
        <v>38</v>
      </c>
      <c r="C13" s="7" t="s">
        <v>39</v>
      </c>
      <c r="D13" s="18"/>
      <c r="E13" s="9" t="s">
        <v>1021</v>
      </c>
      <c r="F13" s="10" t="s">
        <v>1022</v>
      </c>
      <c r="G13" s="10" t="s">
        <v>1032</v>
      </c>
      <c r="H13" s="10" t="s">
        <v>68</v>
      </c>
      <c r="I13" s="11">
        <v>46028.0</v>
      </c>
      <c r="J13" s="11">
        <v>46030.0</v>
      </c>
      <c r="K13" s="10" t="s">
        <v>20</v>
      </c>
      <c r="L13" s="17"/>
      <c r="M13" s="13" t="str">
        <f t="shared" si="1"/>
        <v>fissa </v>
      </c>
      <c r="N13" s="13" t="str">
        <f t="shared" si="2"/>
        <v>fissa 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" t="s">
        <v>38</v>
      </c>
      <c r="C14" s="7" t="s">
        <v>39</v>
      </c>
      <c r="D14" s="21"/>
      <c r="E14" s="9" t="s">
        <v>1021</v>
      </c>
      <c r="F14" s="10" t="s">
        <v>1022</v>
      </c>
      <c r="G14" s="10" t="s">
        <v>1033</v>
      </c>
      <c r="H14" s="10" t="s">
        <v>25</v>
      </c>
      <c r="I14" s="11">
        <v>46028.0</v>
      </c>
      <c r="J14" s="11">
        <v>46030.0</v>
      </c>
      <c r="K14" s="10" t="s">
        <v>20</v>
      </c>
      <c r="L14" s="17"/>
      <c r="M14" s="13" t="str">
        <f t="shared" si="1"/>
        <v>mobile</v>
      </c>
      <c r="N14" s="13" t="str">
        <f t="shared" si="2"/>
        <v>mobile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" t="s">
        <v>38</v>
      </c>
      <c r="C15" s="7" t="s">
        <v>39</v>
      </c>
      <c r="D15" s="21"/>
      <c r="E15" s="9" t="s">
        <v>1021</v>
      </c>
      <c r="F15" s="10" t="s">
        <v>1022</v>
      </c>
      <c r="G15" s="10" t="s">
        <v>1034</v>
      </c>
      <c r="H15" s="10" t="s">
        <v>25</v>
      </c>
      <c r="I15" s="11">
        <v>46028.0</v>
      </c>
      <c r="J15" s="11">
        <v>46030.0</v>
      </c>
      <c r="K15" s="10" t="s">
        <v>20</v>
      </c>
      <c r="L15" s="17"/>
      <c r="M15" s="13" t="str">
        <f t="shared" si="1"/>
        <v>mobile</v>
      </c>
      <c r="N15" s="13" t="str">
        <f t="shared" si="2"/>
        <v>mobile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" t="s">
        <v>38</v>
      </c>
      <c r="C16" s="7" t="s">
        <v>39</v>
      </c>
      <c r="D16" s="14" t="s">
        <v>1035</v>
      </c>
      <c r="E16" s="9" t="s">
        <v>1021</v>
      </c>
      <c r="F16" s="10" t="s">
        <v>1022</v>
      </c>
      <c r="G16" s="10" t="s">
        <v>1036</v>
      </c>
      <c r="H16" s="10" t="s">
        <v>25</v>
      </c>
      <c r="I16" s="11">
        <v>46028.0</v>
      </c>
      <c r="J16" s="11">
        <v>46029.0</v>
      </c>
      <c r="K16" s="10" t="s">
        <v>20</v>
      </c>
      <c r="L16" s="17"/>
      <c r="M16" s="13" t="str">
        <f t="shared" si="1"/>
        <v>mobile</v>
      </c>
      <c r="N16" s="13" t="str">
        <f t="shared" si="2"/>
        <v>mobile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" t="s">
        <v>38</v>
      </c>
      <c r="C17" s="7" t="s">
        <v>39</v>
      </c>
      <c r="D17" s="18"/>
      <c r="E17" s="9" t="s">
        <v>1021</v>
      </c>
      <c r="F17" s="10" t="s">
        <v>1022</v>
      </c>
      <c r="G17" s="10" t="s">
        <v>1037</v>
      </c>
      <c r="H17" s="10" t="s">
        <v>25</v>
      </c>
      <c r="I17" s="11">
        <v>46028.0</v>
      </c>
      <c r="J17" s="11">
        <v>46029.0</v>
      </c>
      <c r="K17" s="10" t="s">
        <v>20</v>
      </c>
      <c r="L17" s="17"/>
      <c r="M17" s="13" t="str">
        <f t="shared" si="1"/>
        <v>mobile</v>
      </c>
      <c r="N17" s="13" t="str">
        <f t="shared" si="2"/>
        <v>mobile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6" t="s">
        <v>38</v>
      </c>
      <c r="C18" s="7" t="s">
        <v>39</v>
      </c>
      <c r="D18" s="14" t="s">
        <v>1038</v>
      </c>
      <c r="E18" s="9" t="s">
        <v>1021</v>
      </c>
      <c r="F18" s="10" t="s">
        <v>1022</v>
      </c>
      <c r="G18" s="10" t="s">
        <v>1039</v>
      </c>
      <c r="H18" s="10" t="s">
        <v>25</v>
      </c>
      <c r="I18" s="11">
        <v>46029.0</v>
      </c>
      <c r="J18" s="11">
        <v>46029.0</v>
      </c>
      <c r="K18" s="10" t="s">
        <v>20</v>
      </c>
      <c r="L18" s="17"/>
      <c r="M18" s="13" t="str">
        <f t="shared" si="1"/>
        <v>mobile</v>
      </c>
      <c r="N18" s="13" t="str">
        <f t="shared" si="2"/>
        <v>mobile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6" t="s">
        <v>38</v>
      </c>
      <c r="C19" s="7" t="s">
        <v>39</v>
      </c>
      <c r="D19" s="21"/>
      <c r="E19" s="9" t="s">
        <v>1021</v>
      </c>
      <c r="F19" s="10" t="s">
        <v>1022</v>
      </c>
      <c r="G19" s="10" t="s">
        <v>1040</v>
      </c>
      <c r="H19" s="10" t="s">
        <v>25</v>
      </c>
      <c r="I19" s="11">
        <v>46029.0</v>
      </c>
      <c r="J19" s="11">
        <v>46029.0</v>
      </c>
      <c r="K19" s="10" t="s">
        <v>20</v>
      </c>
      <c r="L19" s="17"/>
      <c r="M19" s="13" t="str">
        <f t="shared" si="1"/>
        <v>mobile</v>
      </c>
      <c r="N19" s="13" t="str">
        <f t="shared" si="2"/>
        <v>mobile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6" t="s">
        <v>38</v>
      </c>
      <c r="C20" s="7" t="s">
        <v>39</v>
      </c>
      <c r="D20" s="14" t="s">
        <v>1041</v>
      </c>
      <c r="E20" s="9" t="s">
        <v>1021</v>
      </c>
      <c r="F20" s="10" t="s">
        <v>1022</v>
      </c>
      <c r="G20" s="10" t="s">
        <v>1042</v>
      </c>
      <c r="H20" s="10" t="s">
        <v>25</v>
      </c>
      <c r="I20" s="11">
        <v>46029.0</v>
      </c>
      <c r="J20" s="11">
        <v>46029.0</v>
      </c>
      <c r="K20" s="10" t="s">
        <v>20</v>
      </c>
      <c r="L20" s="17"/>
      <c r="M20" s="13" t="str">
        <f t="shared" si="1"/>
        <v>mobile</v>
      </c>
      <c r="N20" s="13" t="str">
        <f t="shared" si="2"/>
        <v>mobile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6" t="s">
        <v>38</v>
      </c>
      <c r="C21" s="7" t="s">
        <v>39</v>
      </c>
      <c r="D21" s="18"/>
      <c r="E21" s="9" t="s">
        <v>1021</v>
      </c>
      <c r="F21" s="10" t="s">
        <v>1022</v>
      </c>
      <c r="G21" s="10" t="s">
        <v>1043</v>
      </c>
      <c r="H21" s="10" t="s">
        <v>25</v>
      </c>
      <c r="I21" s="11">
        <v>46029.0</v>
      </c>
      <c r="J21" s="11">
        <v>46029.0</v>
      </c>
      <c r="K21" s="10" t="s">
        <v>20</v>
      </c>
      <c r="L21" s="17"/>
      <c r="M21" s="13" t="str">
        <f t="shared" si="1"/>
        <v>mobile</v>
      </c>
      <c r="N21" s="13" t="str">
        <f t="shared" si="2"/>
        <v>mobile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" t="s">
        <v>38</v>
      </c>
      <c r="C22" s="7" t="s">
        <v>39</v>
      </c>
      <c r="D22" s="8" t="s">
        <v>1044</v>
      </c>
      <c r="E22" s="9" t="s">
        <v>1021</v>
      </c>
      <c r="F22" s="10" t="s">
        <v>1022</v>
      </c>
      <c r="G22" s="10" t="s">
        <v>1045</v>
      </c>
      <c r="H22" s="10" t="s">
        <v>25</v>
      </c>
      <c r="I22" s="11">
        <v>46030.0</v>
      </c>
      <c r="J22" s="11">
        <v>46030.0</v>
      </c>
      <c r="K22" s="10" t="s">
        <v>20</v>
      </c>
      <c r="L22" s="17"/>
      <c r="M22" s="13" t="str">
        <f t="shared" si="1"/>
        <v>mobile</v>
      </c>
      <c r="N22" s="13" t="str">
        <f t="shared" si="2"/>
        <v>mobile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6" t="s">
        <v>38</v>
      </c>
      <c r="C23" s="7" t="s">
        <v>39</v>
      </c>
      <c r="D23" s="18"/>
      <c r="E23" s="9" t="s">
        <v>1021</v>
      </c>
      <c r="F23" s="10" t="s">
        <v>1022</v>
      </c>
      <c r="G23" s="10" t="s">
        <v>1046</v>
      </c>
      <c r="H23" s="10" t="s">
        <v>25</v>
      </c>
      <c r="I23" s="19">
        <v>46030.0</v>
      </c>
      <c r="J23" s="11">
        <v>46030.0</v>
      </c>
      <c r="K23" s="10" t="s">
        <v>20</v>
      </c>
      <c r="L23" s="17"/>
      <c r="M23" s="13" t="str">
        <f t="shared" si="1"/>
        <v>mobile</v>
      </c>
      <c r="N23" s="13" t="str">
        <f t="shared" si="2"/>
        <v>mobile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6" t="s">
        <v>38</v>
      </c>
      <c r="C24" s="7" t="s">
        <v>39</v>
      </c>
      <c r="D24" s="8" t="s">
        <v>1047</v>
      </c>
      <c r="E24" s="9" t="s">
        <v>1048</v>
      </c>
      <c r="F24" s="10" t="s">
        <v>1049</v>
      </c>
      <c r="G24" s="10" t="s">
        <v>1050</v>
      </c>
      <c r="H24" s="10" t="s">
        <v>37</v>
      </c>
      <c r="I24" s="11">
        <v>46030.0</v>
      </c>
      <c r="J24" s="11">
        <v>46031.0</v>
      </c>
      <c r="K24" s="10" t="s">
        <v>20</v>
      </c>
      <c r="L24" s="17"/>
      <c r="M24" s="13" t="str">
        <f t="shared" si="1"/>
        <v>mobile</v>
      </c>
      <c r="N24" s="13" t="str">
        <f t="shared" si="2"/>
        <v>mobile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6" t="s">
        <v>45</v>
      </c>
      <c r="C25" s="7" t="s">
        <v>46</v>
      </c>
      <c r="D25" s="14" t="s">
        <v>1051</v>
      </c>
      <c r="E25" s="9" t="s">
        <v>1052</v>
      </c>
      <c r="F25" s="10" t="s">
        <v>1053</v>
      </c>
      <c r="G25" s="10" t="s">
        <v>1054</v>
      </c>
      <c r="H25" s="10" t="s">
        <v>37</v>
      </c>
      <c r="I25" s="11">
        <v>46027.0</v>
      </c>
      <c r="J25" s="11">
        <v>46027.0</v>
      </c>
      <c r="K25" s="10" t="s">
        <v>20</v>
      </c>
      <c r="L25" s="17"/>
      <c r="M25" s="13" t="str">
        <f t="shared" si="1"/>
        <v>mobile</v>
      </c>
      <c r="N25" s="13" t="str">
        <f t="shared" si="2"/>
        <v>mobile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6" t="s">
        <v>45</v>
      </c>
      <c r="C26" s="7" t="s">
        <v>46</v>
      </c>
      <c r="D26" s="14" t="s">
        <v>1055</v>
      </c>
      <c r="E26" s="9" t="s">
        <v>1056</v>
      </c>
      <c r="F26" s="10" t="s">
        <v>1057</v>
      </c>
      <c r="G26" s="10" t="s">
        <v>60</v>
      </c>
      <c r="H26" s="10" t="s">
        <v>54</v>
      </c>
      <c r="I26" s="11">
        <v>46028.0</v>
      </c>
      <c r="J26" s="15">
        <v>46043.0</v>
      </c>
      <c r="K26" s="12" t="s">
        <v>20</v>
      </c>
      <c r="L26" s="17"/>
      <c r="M26" s="13" t="str">
        <f t="shared" si="1"/>
        <v>easy r</v>
      </c>
      <c r="N26" s="13" t="str">
        <f t="shared" si="2"/>
        <v>easy r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6" t="s">
        <v>45</v>
      </c>
      <c r="C27" s="7" t="s">
        <v>46</v>
      </c>
      <c r="D27" s="8" t="s">
        <v>1058</v>
      </c>
      <c r="E27" s="9" t="s">
        <v>1059</v>
      </c>
      <c r="F27" s="10" t="s">
        <v>1060</v>
      </c>
      <c r="G27" s="10" t="s">
        <v>1061</v>
      </c>
      <c r="H27" s="10" t="s">
        <v>37</v>
      </c>
      <c r="I27" s="19">
        <v>46028.0</v>
      </c>
      <c r="J27" s="11">
        <v>46028.0</v>
      </c>
      <c r="K27" s="10" t="s">
        <v>20</v>
      </c>
      <c r="L27" s="17"/>
      <c r="M27" s="13" t="str">
        <f t="shared" si="1"/>
        <v>mobile</v>
      </c>
      <c r="N27" s="13" t="str">
        <f t="shared" si="2"/>
        <v>mobile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6" t="s">
        <v>45</v>
      </c>
      <c r="C28" s="7" t="s">
        <v>46</v>
      </c>
      <c r="D28" s="21"/>
      <c r="E28" s="9" t="s">
        <v>1059</v>
      </c>
      <c r="F28" s="10" t="s">
        <v>1060</v>
      </c>
      <c r="G28" s="10" t="s">
        <v>1062</v>
      </c>
      <c r="H28" s="10" t="s">
        <v>37</v>
      </c>
      <c r="I28" s="19">
        <v>46028.0</v>
      </c>
      <c r="J28" s="15">
        <v>46028.0</v>
      </c>
      <c r="K28" s="12" t="s">
        <v>20</v>
      </c>
      <c r="L28" s="17"/>
      <c r="M28" s="13" t="str">
        <f t="shared" si="1"/>
        <v>mobile</v>
      </c>
      <c r="N28" s="13" t="str">
        <f t="shared" si="2"/>
        <v>mobile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6" t="s">
        <v>86</v>
      </c>
      <c r="C29" s="7" t="s">
        <v>954</v>
      </c>
      <c r="D29" s="8" t="s">
        <v>1063</v>
      </c>
      <c r="E29" s="9" t="s">
        <v>1064</v>
      </c>
      <c r="F29" s="10" t="s">
        <v>1065</v>
      </c>
      <c r="G29" s="10" t="s">
        <v>1066</v>
      </c>
      <c r="H29" s="10" t="s">
        <v>66</v>
      </c>
      <c r="I29" s="45">
        <v>46026.0</v>
      </c>
      <c r="J29" s="11">
        <v>46027.0</v>
      </c>
      <c r="K29" s="10" t="s">
        <v>20</v>
      </c>
      <c r="L29" s="17"/>
      <c r="M29" s="13" t="str">
        <f t="shared" si="1"/>
        <v>mobile</v>
      </c>
      <c r="N29" s="13" t="str">
        <f t="shared" si="2"/>
        <v>mobile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6" t="s">
        <v>86</v>
      </c>
      <c r="C30" s="7" t="s">
        <v>954</v>
      </c>
      <c r="D30" s="18"/>
      <c r="E30" s="9" t="s">
        <v>1064</v>
      </c>
      <c r="F30" s="10" t="s">
        <v>1065</v>
      </c>
      <c r="G30" s="10" t="s">
        <v>1067</v>
      </c>
      <c r="H30" s="10" t="s">
        <v>68</v>
      </c>
      <c r="I30" s="19">
        <v>46026.0</v>
      </c>
      <c r="J30" s="11">
        <v>46027.0</v>
      </c>
      <c r="K30" s="10" t="s">
        <v>20</v>
      </c>
      <c r="L30" s="17"/>
      <c r="M30" s="13" t="str">
        <f t="shared" si="1"/>
        <v>fissa </v>
      </c>
      <c r="N30" s="13" t="str">
        <f t="shared" si="2"/>
        <v>fissa 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6" t="s">
        <v>86</v>
      </c>
      <c r="C31" s="7" t="s">
        <v>954</v>
      </c>
      <c r="D31" s="21"/>
      <c r="E31" s="9" t="s">
        <v>1064</v>
      </c>
      <c r="F31" s="10" t="s">
        <v>1065</v>
      </c>
      <c r="G31" s="10" t="s">
        <v>1068</v>
      </c>
      <c r="H31" s="10" t="s">
        <v>37</v>
      </c>
      <c r="I31" s="11">
        <v>46026.0</v>
      </c>
      <c r="J31" s="15">
        <v>46027.0</v>
      </c>
      <c r="K31" s="12" t="s">
        <v>20</v>
      </c>
      <c r="L31" s="17"/>
      <c r="M31" s="13" t="str">
        <f t="shared" si="1"/>
        <v>mobile</v>
      </c>
      <c r="N31" s="13" t="str">
        <f t="shared" si="2"/>
        <v>mobile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6" t="s">
        <v>86</v>
      </c>
      <c r="C32" s="7" t="s">
        <v>87</v>
      </c>
      <c r="D32" s="14" t="s">
        <v>1069</v>
      </c>
      <c r="E32" s="9" t="s">
        <v>381</v>
      </c>
      <c r="F32" s="10" t="s">
        <v>382</v>
      </c>
      <c r="G32" s="10" t="s">
        <v>1070</v>
      </c>
      <c r="H32" s="10" t="s">
        <v>44</v>
      </c>
      <c r="I32" s="11">
        <v>46027.0</v>
      </c>
      <c r="J32" s="11">
        <v>46027.0</v>
      </c>
      <c r="K32" s="10" t="s">
        <v>20</v>
      </c>
      <c r="L32" s="17"/>
      <c r="M32" s="13" t="str">
        <f t="shared" si="1"/>
        <v>fissa </v>
      </c>
      <c r="N32" s="13" t="str">
        <f t="shared" si="2"/>
        <v>fissa 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6" t="s">
        <v>86</v>
      </c>
      <c r="C33" s="7" t="s">
        <v>954</v>
      </c>
      <c r="D33" s="8" t="s">
        <v>1071</v>
      </c>
      <c r="E33" s="9" t="s">
        <v>1072</v>
      </c>
      <c r="F33" s="10" t="s">
        <v>1073</v>
      </c>
      <c r="G33" s="10" t="s">
        <v>1074</v>
      </c>
      <c r="H33" s="10" t="s">
        <v>25</v>
      </c>
      <c r="I33" s="11">
        <v>46027.0</v>
      </c>
      <c r="J33" s="15">
        <v>46027.0</v>
      </c>
      <c r="K33" s="12" t="s">
        <v>20</v>
      </c>
      <c r="L33" s="17"/>
      <c r="M33" s="13" t="str">
        <f t="shared" si="1"/>
        <v>mobile</v>
      </c>
      <c r="N33" s="13" t="str">
        <f t="shared" si="2"/>
        <v>mobile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6" t="s">
        <v>86</v>
      </c>
      <c r="C34" s="7" t="s">
        <v>954</v>
      </c>
      <c r="D34" s="18"/>
      <c r="E34" s="9" t="s">
        <v>1072</v>
      </c>
      <c r="F34" s="10" t="s">
        <v>1073</v>
      </c>
      <c r="G34" s="10" t="s">
        <v>1075</v>
      </c>
      <c r="H34" s="10" t="s">
        <v>25</v>
      </c>
      <c r="I34" s="11">
        <v>46027.0</v>
      </c>
      <c r="J34" s="15">
        <v>46027.0</v>
      </c>
      <c r="K34" s="12" t="s">
        <v>20</v>
      </c>
      <c r="L34" s="17"/>
      <c r="M34" s="13" t="str">
        <f t="shared" si="1"/>
        <v>mobile</v>
      </c>
      <c r="N34" s="13" t="str">
        <f t="shared" si="2"/>
        <v>mobile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6" t="s">
        <v>880</v>
      </c>
      <c r="C35" s="7" t="s">
        <v>881</v>
      </c>
      <c r="D35" s="8" t="s">
        <v>1076</v>
      </c>
      <c r="E35" s="9" t="s">
        <v>1077</v>
      </c>
      <c r="F35" s="10" t="s">
        <v>1078</v>
      </c>
      <c r="G35" s="10" t="s">
        <v>1079</v>
      </c>
      <c r="H35" s="10" t="s">
        <v>37</v>
      </c>
      <c r="I35" s="11">
        <v>46024.0</v>
      </c>
      <c r="J35" s="11">
        <v>46024.0</v>
      </c>
      <c r="K35" s="10" t="s">
        <v>20</v>
      </c>
      <c r="L35" s="17"/>
      <c r="M35" s="13" t="str">
        <f t="shared" si="1"/>
        <v>mobile</v>
      </c>
      <c r="N35" s="13" t="str">
        <f t="shared" si="2"/>
        <v>mobile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6" t="s">
        <v>26</v>
      </c>
      <c r="C36" s="7" t="s">
        <v>27</v>
      </c>
      <c r="D36" s="8" t="s">
        <v>1080</v>
      </c>
      <c r="E36" s="9" t="s">
        <v>1081</v>
      </c>
      <c r="F36" s="10" t="s">
        <v>1082</v>
      </c>
      <c r="G36" s="10" t="s">
        <v>1083</v>
      </c>
      <c r="H36" s="10" t="s">
        <v>25</v>
      </c>
      <c r="I36" s="11">
        <v>46026.0</v>
      </c>
      <c r="J36" s="11">
        <v>46026.0</v>
      </c>
      <c r="K36" s="10" t="s">
        <v>20</v>
      </c>
      <c r="L36" s="17"/>
      <c r="M36" s="13" t="str">
        <f t="shared" si="1"/>
        <v>mobile</v>
      </c>
      <c r="N36" s="13" t="str">
        <f t="shared" si="2"/>
        <v>mobile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6" t="s">
        <v>880</v>
      </c>
      <c r="C37" s="7" t="s">
        <v>881</v>
      </c>
      <c r="D37" s="8" t="s">
        <v>1084</v>
      </c>
      <c r="E37" s="9" t="s">
        <v>1085</v>
      </c>
      <c r="F37" s="10" t="s">
        <v>1086</v>
      </c>
      <c r="G37" s="10" t="s">
        <v>1087</v>
      </c>
      <c r="H37" s="10" t="s">
        <v>37</v>
      </c>
      <c r="I37" s="11">
        <v>46026.0</v>
      </c>
      <c r="J37" s="11">
        <v>46026.0</v>
      </c>
      <c r="K37" s="10" t="s">
        <v>20</v>
      </c>
      <c r="L37" s="17"/>
      <c r="M37" s="13" t="str">
        <f t="shared" si="1"/>
        <v>mobile</v>
      </c>
      <c r="N37" s="13" t="str">
        <f t="shared" si="2"/>
        <v>mobile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6" t="s">
        <v>880</v>
      </c>
      <c r="C38" s="7" t="s">
        <v>881</v>
      </c>
      <c r="D38" s="14" t="s">
        <v>1088</v>
      </c>
      <c r="E38" s="9" t="s">
        <v>1085</v>
      </c>
      <c r="F38" s="10" t="s">
        <v>1086</v>
      </c>
      <c r="G38" s="10" t="s">
        <v>1089</v>
      </c>
      <c r="H38" s="10" t="s">
        <v>37</v>
      </c>
      <c r="I38" s="19">
        <v>46026.0</v>
      </c>
      <c r="J38" s="11">
        <v>46027.0</v>
      </c>
      <c r="K38" s="10" t="s">
        <v>20</v>
      </c>
      <c r="L38" s="17"/>
      <c r="M38" s="13" t="str">
        <f t="shared" si="1"/>
        <v>mobile</v>
      </c>
      <c r="N38" s="13" t="str">
        <f t="shared" si="2"/>
        <v>mobile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6" t="s">
        <v>880</v>
      </c>
      <c r="C39" s="7" t="s">
        <v>881</v>
      </c>
      <c r="D39" s="8" t="s">
        <v>1090</v>
      </c>
      <c r="E39" s="9" t="s">
        <v>1091</v>
      </c>
      <c r="F39" s="10" t="s">
        <v>1092</v>
      </c>
      <c r="G39" s="10" t="s">
        <v>1093</v>
      </c>
      <c r="H39" s="10" t="s">
        <v>37</v>
      </c>
      <c r="I39" s="11">
        <v>46030.0</v>
      </c>
      <c r="J39" s="11">
        <v>46030.0</v>
      </c>
      <c r="K39" s="10" t="s">
        <v>20</v>
      </c>
      <c r="L39" s="17"/>
      <c r="M39" s="13" t="str">
        <f t="shared" si="1"/>
        <v>mobile</v>
      </c>
      <c r="N39" s="13" t="str">
        <f t="shared" si="2"/>
        <v>mobile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6" t="s">
        <v>880</v>
      </c>
      <c r="C40" s="7" t="s">
        <v>881</v>
      </c>
      <c r="D40" s="8" t="s">
        <v>1094</v>
      </c>
      <c r="E40" s="9" t="s">
        <v>1095</v>
      </c>
      <c r="F40" s="10" t="s">
        <v>1096</v>
      </c>
      <c r="G40" s="10" t="s">
        <v>1097</v>
      </c>
      <c r="H40" s="10" t="s">
        <v>25</v>
      </c>
      <c r="I40" s="11">
        <v>46031.0</v>
      </c>
      <c r="J40" s="11">
        <v>46031.0</v>
      </c>
      <c r="K40" s="10" t="s">
        <v>20</v>
      </c>
      <c r="L40" s="17"/>
      <c r="M40" s="13" t="str">
        <f t="shared" si="1"/>
        <v>mobile</v>
      </c>
      <c r="N40" s="13" t="str">
        <f t="shared" si="2"/>
        <v>mobile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6" t="s">
        <v>13</v>
      </c>
      <c r="C41" s="7" t="s">
        <v>14</v>
      </c>
      <c r="D41" s="8" t="s">
        <v>1098</v>
      </c>
      <c r="E41" s="9" t="s">
        <v>1099</v>
      </c>
      <c r="F41" s="10" t="s">
        <v>1100</v>
      </c>
      <c r="G41" s="10" t="s">
        <v>1101</v>
      </c>
      <c r="H41" s="10" t="s">
        <v>25</v>
      </c>
      <c r="I41" s="19">
        <v>46025.0</v>
      </c>
      <c r="J41" s="11">
        <v>46025.0</v>
      </c>
      <c r="K41" s="10" t="s">
        <v>20</v>
      </c>
      <c r="L41" s="17"/>
      <c r="M41" s="13" t="str">
        <f t="shared" si="1"/>
        <v>mobile</v>
      </c>
      <c r="N41" s="13" t="str">
        <f t="shared" si="2"/>
        <v>mobile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6" t="s">
        <v>13</v>
      </c>
      <c r="C42" s="7" t="s">
        <v>14</v>
      </c>
      <c r="D42" s="18"/>
      <c r="E42" s="9" t="s">
        <v>1099</v>
      </c>
      <c r="F42" s="10" t="s">
        <v>1100</v>
      </c>
      <c r="G42" s="10" t="s">
        <v>1102</v>
      </c>
      <c r="H42" s="10" t="s">
        <v>25</v>
      </c>
      <c r="I42" s="11">
        <v>46025.0</v>
      </c>
      <c r="J42" s="11">
        <v>46025.0</v>
      </c>
      <c r="K42" s="10" t="s">
        <v>20</v>
      </c>
      <c r="L42" s="17"/>
      <c r="M42" s="13" t="str">
        <f t="shared" si="1"/>
        <v>mobile</v>
      </c>
      <c r="N42" s="13" t="str">
        <f t="shared" si="2"/>
        <v>mobile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6" t="s">
        <v>13</v>
      </c>
      <c r="C43" s="7" t="s">
        <v>14</v>
      </c>
      <c r="D43" s="14" t="s">
        <v>1103</v>
      </c>
      <c r="E43" s="9" t="s">
        <v>1099</v>
      </c>
      <c r="F43" s="10" t="s">
        <v>1100</v>
      </c>
      <c r="G43" s="10" t="s">
        <v>1104</v>
      </c>
      <c r="H43" s="10" t="s">
        <v>44</v>
      </c>
      <c r="I43" s="11">
        <v>46025.0</v>
      </c>
      <c r="J43" s="11">
        <v>46027.0</v>
      </c>
      <c r="K43" s="10" t="s">
        <v>20</v>
      </c>
      <c r="L43" s="17"/>
      <c r="M43" s="13" t="str">
        <f t="shared" si="1"/>
        <v>fissa </v>
      </c>
      <c r="N43" s="13" t="str">
        <f t="shared" si="2"/>
        <v>fissa 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6" t="s">
        <v>201</v>
      </c>
      <c r="C44" s="7" t="s">
        <v>128</v>
      </c>
      <c r="D44" s="8" t="s">
        <v>1105</v>
      </c>
      <c r="E44" s="9" t="s">
        <v>1106</v>
      </c>
      <c r="F44" s="10" t="s">
        <v>1107</v>
      </c>
      <c r="G44" s="10" t="s">
        <v>1108</v>
      </c>
      <c r="H44" s="10" t="s">
        <v>66</v>
      </c>
      <c r="I44" s="11">
        <v>46027.0</v>
      </c>
      <c r="J44" s="11">
        <v>46027.0</v>
      </c>
      <c r="K44" s="10" t="s">
        <v>20</v>
      </c>
      <c r="L44" s="17"/>
      <c r="M44" s="13" t="str">
        <f t="shared" si="1"/>
        <v>mobile</v>
      </c>
      <c r="N44" s="13" t="str">
        <f t="shared" si="2"/>
        <v>mobile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6" t="s">
        <v>201</v>
      </c>
      <c r="C45" s="7" t="s">
        <v>128</v>
      </c>
      <c r="D45" s="18"/>
      <c r="E45" s="9" t="s">
        <v>1106</v>
      </c>
      <c r="F45" s="10" t="s">
        <v>1107</v>
      </c>
      <c r="G45" s="10" t="s">
        <v>1109</v>
      </c>
      <c r="H45" s="10" t="s">
        <v>68</v>
      </c>
      <c r="I45" s="11">
        <v>46027.0</v>
      </c>
      <c r="J45" s="11">
        <v>46027.0</v>
      </c>
      <c r="K45" s="10" t="s">
        <v>20</v>
      </c>
      <c r="L45" s="17"/>
      <c r="M45" s="13" t="str">
        <f t="shared" si="1"/>
        <v>fissa </v>
      </c>
      <c r="N45" s="13" t="str">
        <f t="shared" si="2"/>
        <v>fissa 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" t="s">
        <v>201</v>
      </c>
      <c r="C46" s="7" t="s">
        <v>128</v>
      </c>
      <c r="D46" s="18"/>
      <c r="E46" s="9" t="s">
        <v>1106</v>
      </c>
      <c r="F46" s="10" t="s">
        <v>1107</v>
      </c>
      <c r="G46" s="10" t="s">
        <v>1110</v>
      </c>
      <c r="H46" s="10" t="s">
        <v>25</v>
      </c>
      <c r="I46" s="19">
        <v>46027.0</v>
      </c>
      <c r="J46" s="11">
        <v>46027.0</v>
      </c>
      <c r="K46" s="10" t="s">
        <v>20</v>
      </c>
      <c r="L46" s="17"/>
      <c r="M46" s="13" t="str">
        <f t="shared" si="1"/>
        <v>mobile</v>
      </c>
      <c r="N46" s="13" t="str">
        <f t="shared" si="2"/>
        <v>mobile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6" t="s">
        <v>201</v>
      </c>
      <c r="C47" s="7" t="s">
        <v>128</v>
      </c>
      <c r="D47" s="14" t="s">
        <v>1111</v>
      </c>
      <c r="E47" s="9" t="s">
        <v>1112</v>
      </c>
      <c r="F47" s="10" t="s">
        <v>1113</v>
      </c>
      <c r="G47" s="10" t="s">
        <v>1114</v>
      </c>
      <c r="H47" s="10" t="s">
        <v>25</v>
      </c>
      <c r="I47" s="11">
        <v>46027.0</v>
      </c>
      <c r="J47" s="11">
        <v>46027.0</v>
      </c>
      <c r="K47" s="10" t="s">
        <v>20</v>
      </c>
      <c r="L47" s="17"/>
      <c r="M47" s="13" t="str">
        <f t="shared" si="1"/>
        <v>mobile</v>
      </c>
      <c r="N47" s="13" t="str">
        <f t="shared" si="2"/>
        <v>mobile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6" t="s">
        <v>201</v>
      </c>
      <c r="C48" s="7" t="s">
        <v>128</v>
      </c>
      <c r="D48" s="18"/>
      <c r="E48" s="9" t="s">
        <v>1112</v>
      </c>
      <c r="F48" s="10" t="s">
        <v>1113</v>
      </c>
      <c r="G48" s="10" t="s">
        <v>1115</v>
      </c>
      <c r="H48" s="10" t="s">
        <v>25</v>
      </c>
      <c r="I48" s="11">
        <v>46027.0</v>
      </c>
      <c r="J48" s="11">
        <v>46027.0</v>
      </c>
      <c r="K48" s="10" t="s">
        <v>20</v>
      </c>
      <c r="L48" s="17"/>
      <c r="M48" s="13" t="str">
        <f t="shared" si="1"/>
        <v>mobile</v>
      </c>
      <c r="N48" s="13" t="str">
        <f t="shared" si="2"/>
        <v>mobile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6" t="s">
        <v>201</v>
      </c>
      <c r="C49" s="7" t="s">
        <v>202</v>
      </c>
      <c r="D49" s="14" t="s">
        <v>1116</v>
      </c>
      <c r="E49" s="9" t="s">
        <v>1117</v>
      </c>
      <c r="F49" s="10" t="s">
        <v>1118</v>
      </c>
      <c r="G49" s="10" t="s">
        <v>1119</v>
      </c>
      <c r="H49" s="10" t="s">
        <v>25</v>
      </c>
      <c r="I49" s="11">
        <v>46031.0</v>
      </c>
      <c r="J49" s="11">
        <v>46034.0</v>
      </c>
      <c r="K49" s="10" t="s">
        <v>20</v>
      </c>
      <c r="L49" s="17"/>
      <c r="M49" s="13" t="str">
        <f t="shared" si="1"/>
        <v>mobile</v>
      </c>
      <c r="N49" s="13" t="str">
        <f t="shared" si="2"/>
        <v>mobile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6" t="s">
        <v>55</v>
      </c>
      <c r="C50" s="7" t="s">
        <v>87</v>
      </c>
      <c r="D50" s="8" t="s">
        <v>1120</v>
      </c>
      <c r="E50" s="9" t="s">
        <v>1121</v>
      </c>
      <c r="F50" s="10" t="s">
        <v>853</v>
      </c>
      <c r="G50" s="10" t="s">
        <v>1122</v>
      </c>
      <c r="H50" s="10" t="s">
        <v>37</v>
      </c>
      <c r="I50" s="19">
        <v>46032.0</v>
      </c>
      <c r="J50" s="11">
        <v>46032.0</v>
      </c>
      <c r="K50" s="10" t="s">
        <v>20</v>
      </c>
      <c r="L50" s="17"/>
      <c r="M50" s="13" t="str">
        <f t="shared" si="1"/>
        <v>mobile</v>
      </c>
      <c r="N50" s="13" t="str">
        <f t="shared" si="2"/>
        <v>mobile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6" t="s">
        <v>55</v>
      </c>
      <c r="C51" s="7" t="s">
        <v>87</v>
      </c>
      <c r="D51" s="18"/>
      <c r="E51" s="9" t="s">
        <v>1121</v>
      </c>
      <c r="F51" s="10" t="s">
        <v>853</v>
      </c>
      <c r="G51" s="10" t="s">
        <v>1123</v>
      </c>
      <c r="H51" s="10" t="s">
        <v>37</v>
      </c>
      <c r="I51" s="11">
        <v>46032.0</v>
      </c>
      <c r="J51" s="11">
        <v>46034.0</v>
      </c>
      <c r="K51" s="10" t="s">
        <v>20</v>
      </c>
      <c r="L51" s="17"/>
      <c r="M51" s="13" t="str">
        <f t="shared" si="1"/>
        <v>mobile</v>
      </c>
      <c r="N51" s="13" t="str">
        <f t="shared" si="2"/>
        <v>mobile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6" t="s">
        <v>55</v>
      </c>
      <c r="C52" s="7" t="s">
        <v>87</v>
      </c>
      <c r="D52" s="21"/>
      <c r="E52" s="9" t="s">
        <v>1121</v>
      </c>
      <c r="F52" s="10" t="s">
        <v>853</v>
      </c>
      <c r="G52" s="10" t="s">
        <v>1124</v>
      </c>
      <c r="H52" s="10" t="s">
        <v>37</v>
      </c>
      <c r="I52" s="11">
        <v>46032.0</v>
      </c>
      <c r="J52" s="11">
        <v>46034.0</v>
      </c>
      <c r="K52" s="10" t="s">
        <v>20</v>
      </c>
      <c r="L52" s="17"/>
      <c r="M52" s="13" t="str">
        <f t="shared" si="1"/>
        <v>mobile</v>
      </c>
      <c r="N52" s="13" t="str">
        <f t="shared" si="2"/>
        <v>mobile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6" t="s">
        <v>55</v>
      </c>
      <c r="C53" s="7" t="s">
        <v>56</v>
      </c>
      <c r="D53" s="21"/>
      <c r="E53" s="9" t="s">
        <v>1121</v>
      </c>
      <c r="F53" s="10" t="s">
        <v>853</v>
      </c>
      <c r="G53" s="10" t="s">
        <v>1125</v>
      </c>
      <c r="H53" s="10" t="s">
        <v>37</v>
      </c>
      <c r="I53" s="19">
        <v>46032.0</v>
      </c>
      <c r="J53" s="11">
        <v>46032.0</v>
      </c>
      <c r="K53" s="10" t="s">
        <v>20</v>
      </c>
      <c r="L53" s="17"/>
      <c r="M53" s="13" t="str">
        <f t="shared" si="1"/>
        <v>mobile</v>
      </c>
      <c r="N53" s="13" t="str">
        <f t="shared" si="2"/>
        <v>mobile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6" t="s">
        <v>55</v>
      </c>
      <c r="C54" s="7" t="s">
        <v>56</v>
      </c>
      <c r="D54" s="21"/>
      <c r="E54" s="9" t="s">
        <v>1121</v>
      </c>
      <c r="F54" s="10" t="s">
        <v>853</v>
      </c>
      <c r="G54" s="10" t="s">
        <v>1126</v>
      </c>
      <c r="H54" s="10" t="s">
        <v>37</v>
      </c>
      <c r="I54" s="19">
        <v>46032.0</v>
      </c>
      <c r="J54" s="11">
        <v>46034.0</v>
      </c>
      <c r="K54" s="10" t="s">
        <v>20</v>
      </c>
      <c r="L54" s="17"/>
      <c r="M54" s="13" t="str">
        <f t="shared" si="1"/>
        <v>mobile</v>
      </c>
      <c r="N54" s="13" t="str">
        <f t="shared" si="2"/>
        <v>mobile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6" t="s">
        <v>55</v>
      </c>
      <c r="C55" s="7" t="s">
        <v>56</v>
      </c>
      <c r="D55" s="8" t="s">
        <v>1127</v>
      </c>
      <c r="E55" s="9" t="s">
        <v>1128</v>
      </c>
      <c r="F55" s="10" t="s">
        <v>1129</v>
      </c>
      <c r="G55" s="10" t="s">
        <v>1130</v>
      </c>
      <c r="H55" s="10" t="s">
        <v>37</v>
      </c>
      <c r="I55" s="11">
        <v>46032.0</v>
      </c>
      <c r="J55" s="11">
        <v>46032.0</v>
      </c>
      <c r="K55" s="10" t="s">
        <v>20</v>
      </c>
      <c r="L55" s="17"/>
      <c r="M55" s="13" t="str">
        <f t="shared" si="1"/>
        <v>mobile</v>
      </c>
      <c r="N55" s="13" t="str">
        <f t="shared" si="2"/>
        <v>mobile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6" t="s">
        <v>13</v>
      </c>
      <c r="C56" s="7" t="s">
        <v>14</v>
      </c>
      <c r="D56" s="8" t="s">
        <v>1131</v>
      </c>
      <c r="E56" s="9" t="s">
        <v>1132</v>
      </c>
      <c r="F56" s="10" t="s">
        <v>1133</v>
      </c>
      <c r="G56" s="10" t="s">
        <v>1134</v>
      </c>
      <c r="H56" s="10" t="s">
        <v>44</v>
      </c>
      <c r="I56" s="11">
        <v>46032.0</v>
      </c>
      <c r="J56" s="11">
        <v>46034.0</v>
      </c>
      <c r="K56" s="10" t="s">
        <v>20</v>
      </c>
      <c r="L56" s="17"/>
      <c r="M56" s="13" t="str">
        <f t="shared" si="1"/>
        <v>fissa </v>
      </c>
      <c r="N56" s="13" t="str">
        <f t="shared" si="2"/>
        <v>fissa 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6" t="s">
        <v>201</v>
      </c>
      <c r="C57" s="7" t="s">
        <v>202</v>
      </c>
      <c r="D57" s="8" t="s">
        <v>1135</v>
      </c>
      <c r="E57" s="9" t="s">
        <v>1136</v>
      </c>
      <c r="F57" s="10" t="s">
        <v>1137</v>
      </c>
      <c r="G57" s="10" t="s">
        <v>1138</v>
      </c>
      <c r="H57" s="10" t="s">
        <v>44</v>
      </c>
      <c r="I57" s="19">
        <v>46035.0</v>
      </c>
      <c r="J57" s="11">
        <v>46037.0</v>
      </c>
      <c r="K57" s="10" t="s">
        <v>20</v>
      </c>
      <c r="L57" s="17"/>
      <c r="M57" s="13" t="str">
        <f t="shared" si="1"/>
        <v>fissa </v>
      </c>
      <c r="N57" s="13" t="str">
        <f t="shared" si="2"/>
        <v>fissa 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6" t="s">
        <v>201</v>
      </c>
      <c r="C58" s="7" t="s">
        <v>202</v>
      </c>
      <c r="D58" s="14" t="s">
        <v>1139</v>
      </c>
      <c r="E58" s="9" t="s">
        <v>1136</v>
      </c>
      <c r="F58" s="10" t="s">
        <v>1137</v>
      </c>
      <c r="G58" s="10" t="s">
        <v>1140</v>
      </c>
      <c r="H58" s="10" t="s">
        <v>44</v>
      </c>
      <c r="I58" s="11">
        <v>46035.0</v>
      </c>
      <c r="J58" s="11">
        <v>46037.0</v>
      </c>
      <c r="K58" s="10" t="s">
        <v>20</v>
      </c>
      <c r="L58" s="17"/>
      <c r="M58" s="13" t="str">
        <f t="shared" si="1"/>
        <v>fissa </v>
      </c>
      <c r="N58" s="13" t="str">
        <f t="shared" si="2"/>
        <v>fissa 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6" t="s">
        <v>201</v>
      </c>
      <c r="C59" s="7" t="s">
        <v>202</v>
      </c>
      <c r="D59" s="14" t="s">
        <v>1141</v>
      </c>
      <c r="E59" s="9" t="s">
        <v>1142</v>
      </c>
      <c r="F59" s="10" t="s">
        <v>1143</v>
      </c>
      <c r="G59" s="10" t="s">
        <v>1144</v>
      </c>
      <c r="H59" s="10" t="s">
        <v>25</v>
      </c>
      <c r="I59" s="19">
        <v>46032.0</v>
      </c>
      <c r="J59" s="15">
        <v>46032.0</v>
      </c>
      <c r="K59" s="12" t="s">
        <v>20</v>
      </c>
      <c r="L59" s="17"/>
      <c r="M59" s="13" t="str">
        <f t="shared" si="1"/>
        <v>mobile</v>
      </c>
      <c r="N59" s="13" t="str">
        <f t="shared" si="2"/>
        <v>mobile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6" t="s">
        <v>38</v>
      </c>
      <c r="C60" s="7" t="s">
        <v>39</v>
      </c>
      <c r="D60" s="8" t="s">
        <v>1145</v>
      </c>
      <c r="E60" s="9" t="s">
        <v>1146</v>
      </c>
      <c r="F60" s="10" t="s">
        <v>1147</v>
      </c>
      <c r="G60" s="10" t="s">
        <v>1148</v>
      </c>
      <c r="H60" s="10" t="s">
        <v>54</v>
      </c>
      <c r="I60" s="20">
        <v>46033.0</v>
      </c>
      <c r="J60" s="11">
        <v>46049.0</v>
      </c>
      <c r="K60" s="10" t="s">
        <v>20</v>
      </c>
      <c r="L60" s="17"/>
      <c r="M60" s="13" t="str">
        <f t="shared" si="1"/>
        <v>easy r</v>
      </c>
      <c r="N60" s="13" t="str">
        <f t="shared" si="2"/>
        <v>easy r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6" t="s">
        <v>75</v>
      </c>
      <c r="C61" s="7" t="s">
        <v>76</v>
      </c>
      <c r="D61" s="14" t="s">
        <v>1149</v>
      </c>
      <c r="E61" s="9" t="s">
        <v>1150</v>
      </c>
      <c r="F61" s="10" t="s">
        <v>1151</v>
      </c>
      <c r="G61" s="10" t="s">
        <v>1152</v>
      </c>
      <c r="H61" s="10" t="s">
        <v>44</v>
      </c>
      <c r="I61" s="11">
        <v>46035.0</v>
      </c>
      <c r="J61" s="15">
        <v>46036.0</v>
      </c>
      <c r="K61" s="12" t="s">
        <v>20</v>
      </c>
      <c r="L61" s="17"/>
      <c r="M61" s="13" t="str">
        <f t="shared" si="1"/>
        <v>fissa </v>
      </c>
      <c r="N61" s="13" t="str">
        <f t="shared" si="2"/>
        <v>fissa 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6" t="s">
        <v>38</v>
      </c>
      <c r="C62" s="7" t="s">
        <v>39</v>
      </c>
      <c r="D62" s="8" t="s">
        <v>1153</v>
      </c>
      <c r="E62" s="9" t="s">
        <v>1154</v>
      </c>
      <c r="F62" s="10" t="s">
        <v>1155</v>
      </c>
      <c r="G62" s="10" t="s">
        <v>91</v>
      </c>
      <c r="H62" s="10" t="s">
        <v>54</v>
      </c>
      <c r="I62" s="11">
        <v>46023.0</v>
      </c>
      <c r="J62" s="11">
        <v>46043.0</v>
      </c>
      <c r="K62" s="10" t="s">
        <v>20</v>
      </c>
      <c r="L62" s="12" t="s">
        <v>21</v>
      </c>
      <c r="M62" s="13" t="str">
        <f t="shared" si="1"/>
        <v>easy r</v>
      </c>
      <c r="N62" s="13" t="str">
        <f t="shared" si="2"/>
        <v>easy r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6" t="s">
        <v>38</v>
      </c>
      <c r="C63" s="7" t="s">
        <v>39</v>
      </c>
      <c r="D63" s="8" t="s">
        <v>1156</v>
      </c>
      <c r="E63" s="9" t="s">
        <v>1157</v>
      </c>
      <c r="F63" s="10" t="s">
        <v>1158</v>
      </c>
      <c r="G63" s="10" t="s">
        <v>53</v>
      </c>
      <c r="H63" s="10" t="s">
        <v>54</v>
      </c>
      <c r="I63" s="19">
        <v>46023.0</v>
      </c>
      <c r="J63" s="15">
        <v>46035.0</v>
      </c>
      <c r="K63" s="12" t="s">
        <v>20</v>
      </c>
      <c r="L63" s="12" t="s">
        <v>21</v>
      </c>
      <c r="M63" s="13" t="str">
        <f t="shared" si="1"/>
        <v>easy r</v>
      </c>
      <c r="N63" s="13" t="str">
        <f t="shared" si="2"/>
        <v>easy r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6" t="s">
        <v>38</v>
      </c>
      <c r="C64" s="7" t="s">
        <v>39</v>
      </c>
      <c r="D64" s="8" t="s">
        <v>1159</v>
      </c>
      <c r="E64" s="9" t="s">
        <v>1157</v>
      </c>
      <c r="F64" s="10" t="s">
        <v>1158</v>
      </c>
      <c r="G64" s="10" t="s">
        <v>53</v>
      </c>
      <c r="H64" s="10" t="s">
        <v>54</v>
      </c>
      <c r="I64" s="11">
        <v>46023.0</v>
      </c>
      <c r="J64" s="11">
        <v>46035.0</v>
      </c>
      <c r="K64" s="10" t="s">
        <v>20</v>
      </c>
      <c r="L64" s="12" t="s">
        <v>21</v>
      </c>
      <c r="M64" s="13" t="str">
        <f t="shared" si="1"/>
        <v>easy r</v>
      </c>
      <c r="N64" s="13" t="str">
        <f t="shared" si="2"/>
        <v>easy r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6" t="s">
        <v>38</v>
      </c>
      <c r="C65" s="7" t="s">
        <v>39</v>
      </c>
      <c r="D65" s="14" t="s">
        <v>1160</v>
      </c>
      <c r="E65" s="9" t="s">
        <v>326</v>
      </c>
      <c r="F65" s="10" t="s">
        <v>327</v>
      </c>
      <c r="G65" s="10" t="s">
        <v>1148</v>
      </c>
      <c r="H65" s="10" t="s">
        <v>54</v>
      </c>
      <c r="I65" s="11">
        <v>46023.0</v>
      </c>
      <c r="J65" s="60"/>
      <c r="K65" s="10" t="s">
        <v>529</v>
      </c>
      <c r="L65" s="12" t="s">
        <v>21</v>
      </c>
      <c r="M65" s="13" t="str">
        <f t="shared" si="1"/>
        <v>easy r</v>
      </c>
      <c r="N65" s="13" t="str">
        <f t="shared" si="2"/>
        <v/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6" t="s">
        <v>86</v>
      </c>
      <c r="C66" s="7" t="s">
        <v>87</v>
      </c>
      <c r="D66" s="8" t="s">
        <v>1161</v>
      </c>
      <c r="E66" s="9" t="s">
        <v>1162</v>
      </c>
      <c r="F66" s="10" t="s">
        <v>1163</v>
      </c>
      <c r="G66" s="10" t="s">
        <v>328</v>
      </c>
      <c r="H66" s="10" t="s">
        <v>54</v>
      </c>
      <c r="I66" s="11">
        <v>46023.0</v>
      </c>
      <c r="J66" s="11">
        <v>46042.0</v>
      </c>
      <c r="K66" s="10" t="s">
        <v>20</v>
      </c>
      <c r="L66" s="12" t="s">
        <v>21</v>
      </c>
      <c r="M66" s="13" t="str">
        <f t="shared" si="1"/>
        <v>easy r</v>
      </c>
      <c r="N66" s="13" t="str">
        <f t="shared" si="2"/>
        <v>easy r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6" t="s">
        <v>26</v>
      </c>
      <c r="C67" s="7" t="s">
        <v>27</v>
      </c>
      <c r="D67" s="14" t="s">
        <v>1164</v>
      </c>
      <c r="E67" s="9" t="s">
        <v>1165</v>
      </c>
      <c r="F67" s="10" t="s">
        <v>1166</v>
      </c>
      <c r="G67" s="10" t="s">
        <v>91</v>
      </c>
      <c r="H67" s="10" t="s">
        <v>54</v>
      </c>
      <c r="I67" s="11">
        <v>46023.0</v>
      </c>
      <c r="J67" s="11">
        <v>46035.0</v>
      </c>
      <c r="K67" s="10" t="s">
        <v>20</v>
      </c>
      <c r="L67" s="12" t="s">
        <v>21</v>
      </c>
      <c r="M67" s="13" t="str">
        <f t="shared" si="1"/>
        <v>easy r</v>
      </c>
      <c r="N67" s="13" t="str">
        <f t="shared" si="2"/>
        <v>easy r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6" t="s">
        <v>26</v>
      </c>
      <c r="C68" s="7" t="s">
        <v>27</v>
      </c>
      <c r="D68" s="8" t="s">
        <v>1167</v>
      </c>
      <c r="E68" s="9" t="s">
        <v>1165</v>
      </c>
      <c r="F68" s="10" t="s">
        <v>1166</v>
      </c>
      <c r="G68" s="10" t="s">
        <v>1168</v>
      </c>
      <c r="H68" s="10" t="s">
        <v>54</v>
      </c>
      <c r="I68" s="11">
        <v>46023.0</v>
      </c>
      <c r="J68" s="11">
        <v>46024.0</v>
      </c>
      <c r="K68" s="10" t="s">
        <v>20</v>
      </c>
      <c r="L68" s="12" t="s">
        <v>21</v>
      </c>
      <c r="M68" s="13" t="str">
        <f t="shared" si="1"/>
        <v>easy r</v>
      </c>
      <c r="N68" s="13" t="str">
        <f t="shared" si="2"/>
        <v>easy r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6" t="s">
        <v>26</v>
      </c>
      <c r="C69" s="7" t="s">
        <v>27</v>
      </c>
      <c r="D69" s="8" t="s">
        <v>1169</v>
      </c>
      <c r="E69" s="9" t="s">
        <v>401</v>
      </c>
      <c r="F69" s="10" t="s">
        <v>402</v>
      </c>
      <c r="G69" s="10" t="s">
        <v>91</v>
      </c>
      <c r="H69" s="10" t="s">
        <v>54</v>
      </c>
      <c r="I69" s="19">
        <v>46023.0</v>
      </c>
      <c r="J69" s="11">
        <v>46035.0</v>
      </c>
      <c r="K69" s="10" t="s">
        <v>20</v>
      </c>
      <c r="L69" s="12" t="s">
        <v>21</v>
      </c>
      <c r="M69" s="13" t="str">
        <f t="shared" si="1"/>
        <v>easy r</v>
      </c>
      <c r="N69" s="13" t="str">
        <f t="shared" si="2"/>
        <v>easy r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6" t="s">
        <v>880</v>
      </c>
      <c r="C70" s="7" t="s">
        <v>881</v>
      </c>
      <c r="D70" s="14" t="s">
        <v>1170</v>
      </c>
      <c r="E70" s="9" t="s">
        <v>1171</v>
      </c>
      <c r="F70" s="10" t="s">
        <v>1172</v>
      </c>
      <c r="G70" s="10" t="s">
        <v>1173</v>
      </c>
      <c r="H70" s="10" t="s">
        <v>25</v>
      </c>
      <c r="I70" s="11">
        <v>46035.0</v>
      </c>
      <c r="J70" s="11">
        <v>46035.0</v>
      </c>
      <c r="K70" s="10" t="s">
        <v>20</v>
      </c>
      <c r="L70" s="17"/>
      <c r="M70" s="13" t="str">
        <f t="shared" si="1"/>
        <v>mobile</v>
      </c>
      <c r="N70" s="13" t="str">
        <f t="shared" si="2"/>
        <v>mobile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6" t="s">
        <v>75</v>
      </c>
      <c r="C71" s="7" t="s">
        <v>202</v>
      </c>
      <c r="D71" s="8" t="s">
        <v>1174</v>
      </c>
      <c r="E71" s="9" t="s">
        <v>1175</v>
      </c>
      <c r="F71" s="10" t="s">
        <v>1176</v>
      </c>
      <c r="G71" s="10" t="s">
        <v>1177</v>
      </c>
      <c r="H71" s="10" t="s">
        <v>19</v>
      </c>
      <c r="I71" s="11">
        <v>46034.0</v>
      </c>
      <c r="J71" s="11">
        <v>46035.0</v>
      </c>
      <c r="K71" s="10" t="s">
        <v>20</v>
      </c>
      <c r="L71" s="17"/>
      <c r="M71" s="13" t="str">
        <f t="shared" si="1"/>
        <v>fissa </v>
      </c>
      <c r="N71" s="13" t="str">
        <f t="shared" si="2"/>
        <v>fissa 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6" t="s">
        <v>880</v>
      </c>
      <c r="C72" s="7" t="s">
        <v>881</v>
      </c>
      <c r="D72" s="8" t="s">
        <v>1178</v>
      </c>
      <c r="E72" s="9" t="s">
        <v>1171</v>
      </c>
      <c r="F72" s="10" t="s">
        <v>1172</v>
      </c>
      <c r="G72" s="10" t="s">
        <v>1179</v>
      </c>
      <c r="H72" s="10" t="s">
        <v>44</v>
      </c>
      <c r="I72" s="11">
        <v>46035.0</v>
      </c>
      <c r="J72" s="11">
        <v>46035.0</v>
      </c>
      <c r="K72" s="10" t="s">
        <v>20</v>
      </c>
      <c r="L72" s="17"/>
      <c r="M72" s="13" t="str">
        <f t="shared" si="1"/>
        <v>fissa </v>
      </c>
      <c r="N72" s="13" t="str">
        <f t="shared" si="2"/>
        <v>fissa 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6" t="s">
        <v>880</v>
      </c>
      <c r="C73" s="7" t="s">
        <v>881</v>
      </c>
      <c r="D73" s="14" t="s">
        <v>1180</v>
      </c>
      <c r="E73" s="9" t="s">
        <v>1171</v>
      </c>
      <c r="F73" s="10" t="s">
        <v>1172</v>
      </c>
      <c r="G73" s="10" t="s">
        <v>1181</v>
      </c>
      <c r="H73" s="10" t="s">
        <v>37</v>
      </c>
      <c r="I73" s="11">
        <v>46035.0</v>
      </c>
      <c r="J73" s="11">
        <v>46035.0</v>
      </c>
      <c r="K73" s="10" t="s">
        <v>20</v>
      </c>
      <c r="L73" s="17"/>
      <c r="M73" s="13" t="str">
        <f t="shared" si="1"/>
        <v>mobile</v>
      </c>
      <c r="N73" s="13" t="str">
        <f t="shared" si="2"/>
        <v>mobile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6" t="s">
        <v>86</v>
      </c>
      <c r="C74" s="7" t="s">
        <v>87</v>
      </c>
      <c r="D74" s="8" t="s">
        <v>1182</v>
      </c>
      <c r="E74" s="9" t="s">
        <v>1183</v>
      </c>
      <c r="F74" s="10" t="s">
        <v>1184</v>
      </c>
      <c r="G74" s="10" t="s">
        <v>1185</v>
      </c>
      <c r="H74" s="10" t="s">
        <v>37</v>
      </c>
      <c r="I74" s="11">
        <v>46035.0</v>
      </c>
      <c r="J74" s="11">
        <v>46036.0</v>
      </c>
      <c r="K74" s="10" t="s">
        <v>20</v>
      </c>
      <c r="L74" s="17"/>
      <c r="M74" s="13" t="str">
        <f t="shared" si="1"/>
        <v>mobile</v>
      </c>
      <c r="N74" s="13" t="str">
        <f t="shared" si="2"/>
        <v>mobile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6" t="s">
        <v>86</v>
      </c>
      <c r="C75" s="7" t="s">
        <v>87</v>
      </c>
      <c r="D75" s="18"/>
      <c r="E75" s="9" t="s">
        <v>1183</v>
      </c>
      <c r="F75" s="10" t="s">
        <v>1184</v>
      </c>
      <c r="G75" s="10" t="s">
        <v>1186</v>
      </c>
      <c r="H75" s="10" t="s">
        <v>37</v>
      </c>
      <c r="I75" s="11">
        <v>46035.0</v>
      </c>
      <c r="J75" s="11">
        <v>46049.0</v>
      </c>
      <c r="K75" s="10" t="s">
        <v>20</v>
      </c>
      <c r="L75" s="17"/>
      <c r="M75" s="13" t="str">
        <f t="shared" si="1"/>
        <v>mobile</v>
      </c>
      <c r="N75" s="13" t="str">
        <f t="shared" si="2"/>
        <v>mobile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6" t="s">
        <v>45</v>
      </c>
      <c r="C76" s="7" t="s">
        <v>46</v>
      </c>
      <c r="D76" s="8" t="s">
        <v>1187</v>
      </c>
      <c r="E76" s="9" t="s">
        <v>1188</v>
      </c>
      <c r="F76" s="10" t="s">
        <v>1189</v>
      </c>
      <c r="G76" s="10" t="s">
        <v>1190</v>
      </c>
      <c r="H76" s="10" t="s">
        <v>37</v>
      </c>
      <c r="I76" s="11">
        <v>46036.0</v>
      </c>
      <c r="J76" s="11">
        <v>46036.0</v>
      </c>
      <c r="K76" s="10" t="s">
        <v>20</v>
      </c>
      <c r="L76" s="17"/>
      <c r="M76" s="13" t="str">
        <f t="shared" si="1"/>
        <v>mobile</v>
      </c>
      <c r="N76" s="13" t="str">
        <f t="shared" si="2"/>
        <v>mobile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6" t="s">
        <v>45</v>
      </c>
      <c r="C77" s="7" t="s">
        <v>46</v>
      </c>
      <c r="D77" s="21"/>
      <c r="E77" s="9" t="s">
        <v>1188</v>
      </c>
      <c r="F77" s="10" t="s">
        <v>1189</v>
      </c>
      <c r="G77" s="10" t="s">
        <v>1191</v>
      </c>
      <c r="H77" s="10" t="s">
        <v>37</v>
      </c>
      <c r="I77" s="11">
        <v>46036.0</v>
      </c>
      <c r="J77" s="11">
        <v>46036.0</v>
      </c>
      <c r="K77" s="10" t="s">
        <v>20</v>
      </c>
      <c r="L77" s="17"/>
      <c r="M77" s="13" t="str">
        <f t="shared" si="1"/>
        <v>mobile</v>
      </c>
      <c r="N77" s="13" t="str">
        <f t="shared" si="2"/>
        <v>mobile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6" t="s">
        <v>45</v>
      </c>
      <c r="C78" s="7" t="s">
        <v>46</v>
      </c>
      <c r="D78" s="21"/>
      <c r="E78" s="9" t="s">
        <v>1188</v>
      </c>
      <c r="F78" s="10" t="s">
        <v>1189</v>
      </c>
      <c r="G78" s="10" t="s">
        <v>1192</v>
      </c>
      <c r="H78" s="10" t="s">
        <v>37</v>
      </c>
      <c r="I78" s="11">
        <v>46036.0</v>
      </c>
      <c r="J78" s="15">
        <v>46036.0</v>
      </c>
      <c r="K78" s="12" t="s">
        <v>20</v>
      </c>
      <c r="L78" s="17"/>
      <c r="M78" s="13" t="str">
        <f t="shared" si="1"/>
        <v>mobile</v>
      </c>
      <c r="N78" s="13" t="str">
        <f t="shared" si="2"/>
        <v>mobile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6" t="s">
        <v>45</v>
      </c>
      <c r="C79" s="7" t="s">
        <v>46</v>
      </c>
      <c r="D79" s="21"/>
      <c r="E79" s="9" t="s">
        <v>1188</v>
      </c>
      <c r="F79" s="10" t="s">
        <v>1189</v>
      </c>
      <c r="G79" s="10" t="s">
        <v>1193</v>
      </c>
      <c r="H79" s="10" t="s">
        <v>37</v>
      </c>
      <c r="I79" s="11">
        <v>46036.0</v>
      </c>
      <c r="J79" s="11">
        <v>46036.0</v>
      </c>
      <c r="K79" s="10" t="s">
        <v>20</v>
      </c>
      <c r="L79" s="17"/>
      <c r="M79" s="13" t="str">
        <f t="shared" si="1"/>
        <v>mobile</v>
      </c>
      <c r="N79" s="13" t="str">
        <f t="shared" si="2"/>
        <v>mobile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6" t="s">
        <v>86</v>
      </c>
      <c r="C80" s="7" t="s">
        <v>954</v>
      </c>
      <c r="D80" s="14" t="s">
        <v>1194</v>
      </c>
      <c r="E80" s="9" t="s">
        <v>1195</v>
      </c>
      <c r="F80" s="10" t="s">
        <v>1196</v>
      </c>
      <c r="G80" s="10" t="s">
        <v>1197</v>
      </c>
      <c r="H80" s="10" t="s">
        <v>66</v>
      </c>
      <c r="I80" s="11">
        <v>46037.0</v>
      </c>
      <c r="J80" s="11">
        <v>46038.0</v>
      </c>
      <c r="K80" s="10" t="s">
        <v>20</v>
      </c>
      <c r="L80" s="17"/>
      <c r="M80" s="13" t="str">
        <f t="shared" si="1"/>
        <v>mobile</v>
      </c>
      <c r="N80" s="13" t="str">
        <f t="shared" si="2"/>
        <v>mobile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6" t="s">
        <v>86</v>
      </c>
      <c r="C81" s="7" t="s">
        <v>954</v>
      </c>
      <c r="D81" s="21"/>
      <c r="E81" s="9" t="s">
        <v>1195</v>
      </c>
      <c r="F81" s="10" t="s">
        <v>1196</v>
      </c>
      <c r="G81" s="10" t="s">
        <v>1198</v>
      </c>
      <c r="H81" s="10" t="s">
        <v>68</v>
      </c>
      <c r="I81" s="11">
        <v>46037.0</v>
      </c>
      <c r="J81" s="15">
        <v>46038.0</v>
      </c>
      <c r="K81" s="12" t="s">
        <v>20</v>
      </c>
      <c r="L81" s="17"/>
      <c r="M81" s="13" t="str">
        <f t="shared" si="1"/>
        <v>fissa </v>
      </c>
      <c r="N81" s="13" t="str">
        <f t="shared" si="2"/>
        <v>fissa 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6" t="s">
        <v>86</v>
      </c>
      <c r="C82" s="7" t="s">
        <v>87</v>
      </c>
      <c r="D82" s="8" t="s">
        <v>1199</v>
      </c>
      <c r="E82" s="9" t="s">
        <v>1200</v>
      </c>
      <c r="F82" s="10" t="s">
        <v>1201</v>
      </c>
      <c r="G82" s="10" t="s">
        <v>1202</v>
      </c>
      <c r="H82" s="10" t="s">
        <v>25</v>
      </c>
      <c r="I82" s="11">
        <v>46027.0</v>
      </c>
      <c r="J82" s="15">
        <v>46049.0</v>
      </c>
      <c r="K82" s="12" t="s">
        <v>20</v>
      </c>
      <c r="L82" s="17"/>
      <c r="M82" s="13" t="str">
        <f t="shared" si="1"/>
        <v>mobile</v>
      </c>
      <c r="N82" s="13" t="str">
        <f t="shared" si="2"/>
        <v>mobile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6" t="s">
        <v>86</v>
      </c>
      <c r="C83" s="7" t="s">
        <v>87</v>
      </c>
      <c r="D83" s="21"/>
      <c r="E83" s="9" t="s">
        <v>1200</v>
      </c>
      <c r="F83" s="10" t="s">
        <v>1201</v>
      </c>
      <c r="G83" s="10" t="s">
        <v>1203</v>
      </c>
      <c r="H83" s="10" t="s">
        <v>25</v>
      </c>
      <c r="I83" s="11">
        <v>46027.0</v>
      </c>
      <c r="J83" s="11">
        <v>46038.0</v>
      </c>
      <c r="K83" s="10" t="s">
        <v>20</v>
      </c>
      <c r="L83" s="17"/>
      <c r="M83" s="13" t="str">
        <f t="shared" si="1"/>
        <v>mobile</v>
      </c>
      <c r="N83" s="13" t="str">
        <f t="shared" si="2"/>
        <v>mobile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6" t="s">
        <v>86</v>
      </c>
      <c r="C84" s="7" t="s">
        <v>87</v>
      </c>
      <c r="D84" s="14" t="s">
        <v>1204</v>
      </c>
      <c r="E84" s="9" t="s">
        <v>1200</v>
      </c>
      <c r="F84" s="10" t="s">
        <v>1201</v>
      </c>
      <c r="G84" s="10" t="s">
        <v>1205</v>
      </c>
      <c r="H84" s="10" t="s">
        <v>37</v>
      </c>
      <c r="I84" s="11">
        <v>46027.0</v>
      </c>
      <c r="J84" s="11">
        <v>46042.0</v>
      </c>
      <c r="K84" s="10" t="s">
        <v>20</v>
      </c>
      <c r="L84" s="17"/>
      <c r="M84" s="13" t="str">
        <f t="shared" si="1"/>
        <v>mobile</v>
      </c>
      <c r="N84" s="13" t="str">
        <f t="shared" si="2"/>
        <v>mobile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6" t="s">
        <v>86</v>
      </c>
      <c r="C85" s="7" t="s">
        <v>87</v>
      </c>
      <c r="D85" s="18"/>
      <c r="E85" s="9" t="s">
        <v>1200</v>
      </c>
      <c r="F85" s="10" t="s">
        <v>1201</v>
      </c>
      <c r="G85" s="10" t="s">
        <v>1206</v>
      </c>
      <c r="H85" s="10" t="s">
        <v>25</v>
      </c>
      <c r="I85" s="45">
        <v>46027.0</v>
      </c>
      <c r="J85" s="11">
        <v>46042.0</v>
      </c>
      <c r="K85" s="10" t="s">
        <v>20</v>
      </c>
      <c r="L85" s="17"/>
      <c r="M85" s="13" t="str">
        <f t="shared" si="1"/>
        <v>mobile</v>
      </c>
      <c r="N85" s="13" t="str">
        <f t="shared" si="2"/>
        <v>mobile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6" t="s">
        <v>86</v>
      </c>
      <c r="C86" s="7" t="s">
        <v>87</v>
      </c>
      <c r="D86" s="21"/>
      <c r="E86" s="9" t="s">
        <v>1200</v>
      </c>
      <c r="F86" s="10" t="s">
        <v>1201</v>
      </c>
      <c r="G86" s="10" t="s">
        <v>1207</v>
      </c>
      <c r="H86" s="10" t="s">
        <v>25</v>
      </c>
      <c r="I86" s="19">
        <v>46027.0</v>
      </c>
      <c r="J86" s="11">
        <v>46042.0</v>
      </c>
      <c r="K86" s="10" t="s">
        <v>20</v>
      </c>
      <c r="L86" s="17"/>
      <c r="M86" s="13" t="str">
        <f t="shared" si="1"/>
        <v>mobile</v>
      </c>
      <c r="N86" s="13" t="str">
        <f t="shared" si="2"/>
        <v>mobile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6" t="s">
        <v>45</v>
      </c>
      <c r="C87" s="7" t="s">
        <v>46</v>
      </c>
      <c r="D87" s="22" t="s">
        <v>1208</v>
      </c>
      <c r="E87" s="9" t="s">
        <v>1209</v>
      </c>
      <c r="F87" s="10" t="s">
        <v>1210</v>
      </c>
      <c r="G87" s="10" t="s">
        <v>1211</v>
      </c>
      <c r="H87" s="10" t="s">
        <v>25</v>
      </c>
      <c r="I87" s="11">
        <v>46038.0</v>
      </c>
      <c r="J87" s="11">
        <v>46038.0</v>
      </c>
      <c r="K87" s="10" t="s">
        <v>20</v>
      </c>
      <c r="L87" s="17"/>
      <c r="M87" s="13" t="str">
        <f t="shared" si="1"/>
        <v>mobile</v>
      </c>
      <c r="N87" s="13" t="str">
        <f t="shared" si="2"/>
        <v>mobile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6" t="s">
        <v>45</v>
      </c>
      <c r="C88" s="7" t="s">
        <v>46</v>
      </c>
      <c r="D88" s="18"/>
      <c r="E88" s="9" t="s">
        <v>1209</v>
      </c>
      <c r="F88" s="10" t="s">
        <v>1210</v>
      </c>
      <c r="G88" s="10" t="s">
        <v>1212</v>
      </c>
      <c r="H88" s="10" t="s">
        <v>25</v>
      </c>
      <c r="I88" s="11">
        <v>46038.0</v>
      </c>
      <c r="J88" s="11">
        <v>46038.0</v>
      </c>
      <c r="K88" s="10" t="s">
        <v>20</v>
      </c>
      <c r="L88" s="17"/>
      <c r="M88" s="13" t="str">
        <f t="shared" si="1"/>
        <v>mobile</v>
      </c>
      <c r="N88" s="13" t="str">
        <f t="shared" si="2"/>
        <v>mobile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6" t="s">
        <v>26</v>
      </c>
      <c r="C89" s="7" t="s">
        <v>27</v>
      </c>
      <c r="D89" s="8" t="s">
        <v>1213</v>
      </c>
      <c r="E89" s="9" t="s">
        <v>1214</v>
      </c>
      <c r="F89" s="10" t="s">
        <v>1215</v>
      </c>
      <c r="G89" s="10" t="s">
        <v>1216</v>
      </c>
      <c r="H89" s="10" t="s">
        <v>25</v>
      </c>
      <c r="I89" s="45">
        <v>46038.0</v>
      </c>
      <c r="J89" s="11">
        <v>46039.0</v>
      </c>
      <c r="K89" s="10" t="s">
        <v>20</v>
      </c>
      <c r="L89" s="17"/>
      <c r="M89" s="13" t="str">
        <f t="shared" si="1"/>
        <v>mobile</v>
      </c>
      <c r="N89" s="13" t="str">
        <f t="shared" si="2"/>
        <v>mobile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6" t="s">
        <v>26</v>
      </c>
      <c r="C90" s="7" t="s">
        <v>27</v>
      </c>
      <c r="D90" s="21"/>
      <c r="E90" s="9" t="s">
        <v>1214</v>
      </c>
      <c r="F90" s="10" t="s">
        <v>1215</v>
      </c>
      <c r="G90" s="10" t="s">
        <v>1217</v>
      </c>
      <c r="H90" s="10" t="s">
        <v>44</v>
      </c>
      <c r="I90" s="11">
        <v>46038.0</v>
      </c>
      <c r="J90" s="11">
        <v>46039.0</v>
      </c>
      <c r="K90" s="10" t="s">
        <v>20</v>
      </c>
      <c r="L90" s="17"/>
      <c r="M90" s="13" t="str">
        <f t="shared" si="1"/>
        <v>fissa </v>
      </c>
      <c r="N90" s="13" t="str">
        <f t="shared" si="2"/>
        <v>fissa 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6" t="s">
        <v>13</v>
      </c>
      <c r="C91" s="7" t="s">
        <v>142</v>
      </c>
      <c r="D91" s="8" t="s">
        <v>1218</v>
      </c>
      <c r="E91" s="9" t="s">
        <v>1219</v>
      </c>
      <c r="F91" s="10" t="s">
        <v>1220</v>
      </c>
      <c r="G91" s="10" t="s">
        <v>1221</v>
      </c>
      <c r="H91" s="10" t="s">
        <v>66</v>
      </c>
      <c r="I91" s="11">
        <v>46038.0</v>
      </c>
      <c r="J91" s="15">
        <v>46039.0</v>
      </c>
      <c r="K91" s="12" t="s">
        <v>20</v>
      </c>
      <c r="L91" s="17"/>
      <c r="M91" s="13" t="str">
        <f t="shared" si="1"/>
        <v>mobile</v>
      </c>
      <c r="N91" s="13" t="str">
        <f t="shared" si="2"/>
        <v>mobile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6" t="s">
        <v>13</v>
      </c>
      <c r="C92" s="7" t="s">
        <v>142</v>
      </c>
      <c r="D92" s="18"/>
      <c r="E92" s="9" t="s">
        <v>1219</v>
      </c>
      <c r="F92" s="10" t="s">
        <v>1220</v>
      </c>
      <c r="G92" s="10" t="s">
        <v>1222</v>
      </c>
      <c r="H92" s="10" t="s">
        <v>68</v>
      </c>
      <c r="I92" s="11">
        <v>46038.0</v>
      </c>
      <c r="J92" s="15">
        <v>46039.0</v>
      </c>
      <c r="K92" s="12" t="s">
        <v>20</v>
      </c>
      <c r="L92" s="17"/>
      <c r="M92" s="13" t="str">
        <f t="shared" si="1"/>
        <v>fissa </v>
      </c>
      <c r="N92" s="13" t="str">
        <f t="shared" si="2"/>
        <v>fissa 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6" t="s">
        <v>13</v>
      </c>
      <c r="C93" s="7" t="s">
        <v>142</v>
      </c>
      <c r="D93" s="21"/>
      <c r="E93" s="9" t="s">
        <v>1219</v>
      </c>
      <c r="F93" s="10" t="s">
        <v>1220</v>
      </c>
      <c r="G93" s="10" t="s">
        <v>1223</v>
      </c>
      <c r="H93" s="10" t="s">
        <v>25</v>
      </c>
      <c r="I93" s="11">
        <v>46038.0</v>
      </c>
      <c r="J93" s="11">
        <v>46039.0</v>
      </c>
      <c r="K93" s="10" t="s">
        <v>20</v>
      </c>
      <c r="L93" s="17"/>
      <c r="M93" s="13" t="str">
        <f t="shared" si="1"/>
        <v>mobile</v>
      </c>
      <c r="N93" s="13" t="str">
        <f t="shared" si="2"/>
        <v>mobile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6" t="s">
        <v>195</v>
      </c>
      <c r="C94" s="7" t="s">
        <v>1224</v>
      </c>
      <c r="D94" s="14" t="s">
        <v>1225</v>
      </c>
      <c r="E94" s="9" t="s">
        <v>1226</v>
      </c>
      <c r="F94" s="10" t="s">
        <v>1227</v>
      </c>
      <c r="G94" s="10" t="s">
        <v>1228</v>
      </c>
      <c r="H94" s="10" t="s">
        <v>44</v>
      </c>
      <c r="I94" s="11">
        <v>46039.0</v>
      </c>
      <c r="J94" s="11">
        <v>46039.0</v>
      </c>
      <c r="K94" s="10" t="s">
        <v>20</v>
      </c>
      <c r="L94" s="17"/>
      <c r="M94" s="13" t="str">
        <f t="shared" si="1"/>
        <v>fissa </v>
      </c>
      <c r="N94" s="13" t="str">
        <f t="shared" si="2"/>
        <v>fissa 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6" t="s">
        <v>75</v>
      </c>
      <c r="C95" s="7" t="s">
        <v>76</v>
      </c>
      <c r="D95" s="8" t="s">
        <v>1229</v>
      </c>
      <c r="E95" s="9" t="s">
        <v>1230</v>
      </c>
      <c r="F95" s="10" t="s">
        <v>1231</v>
      </c>
      <c r="G95" s="9" t="s">
        <v>1232</v>
      </c>
      <c r="H95" s="10" t="s">
        <v>25</v>
      </c>
      <c r="I95" s="19">
        <v>46039.0</v>
      </c>
      <c r="J95" s="15">
        <v>46042.0</v>
      </c>
      <c r="K95" s="12" t="s">
        <v>20</v>
      </c>
      <c r="L95" s="17"/>
      <c r="M95" s="13" t="str">
        <f t="shared" si="1"/>
        <v>mobile</v>
      </c>
      <c r="N95" s="13" t="str">
        <f t="shared" si="2"/>
        <v>mobile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6" t="s">
        <v>75</v>
      </c>
      <c r="C96" s="7" t="s">
        <v>76</v>
      </c>
      <c r="D96" s="21"/>
      <c r="E96" s="9" t="s">
        <v>1230</v>
      </c>
      <c r="F96" s="10" t="s">
        <v>1231</v>
      </c>
      <c r="G96" s="10" t="s">
        <v>85</v>
      </c>
      <c r="H96" s="10" t="s">
        <v>54</v>
      </c>
      <c r="I96" s="19">
        <v>46039.0</v>
      </c>
      <c r="J96" s="15">
        <v>46053.0</v>
      </c>
      <c r="K96" s="12" t="s">
        <v>20</v>
      </c>
      <c r="L96" s="17"/>
      <c r="M96" s="13" t="str">
        <f t="shared" si="1"/>
        <v>easy r</v>
      </c>
      <c r="N96" s="13" t="str">
        <f t="shared" si="2"/>
        <v>easy r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6" t="s">
        <v>26</v>
      </c>
      <c r="C97" s="7" t="s">
        <v>27</v>
      </c>
      <c r="D97" s="8" t="s">
        <v>1233</v>
      </c>
      <c r="E97" s="9" t="s">
        <v>1234</v>
      </c>
      <c r="F97" s="10" t="s">
        <v>1235</v>
      </c>
      <c r="G97" s="10" t="s">
        <v>1236</v>
      </c>
      <c r="H97" s="10" t="s">
        <v>25</v>
      </c>
      <c r="I97" s="11">
        <v>46041.0</v>
      </c>
      <c r="J97" s="11">
        <v>46041.0</v>
      </c>
      <c r="K97" s="10" t="s">
        <v>20</v>
      </c>
      <c r="L97" s="17"/>
      <c r="M97" s="13" t="str">
        <f t="shared" si="1"/>
        <v>mobile</v>
      </c>
      <c r="N97" s="13" t="str">
        <f t="shared" si="2"/>
        <v>mobile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6" t="s">
        <v>26</v>
      </c>
      <c r="C98" s="7" t="s">
        <v>27</v>
      </c>
      <c r="D98" s="18"/>
      <c r="E98" s="9" t="s">
        <v>1234</v>
      </c>
      <c r="F98" s="10" t="s">
        <v>1235</v>
      </c>
      <c r="G98" s="10" t="s">
        <v>1237</v>
      </c>
      <c r="H98" s="10" t="s">
        <v>25</v>
      </c>
      <c r="I98" s="45">
        <v>46041.0</v>
      </c>
      <c r="J98" s="11">
        <v>46041.0</v>
      </c>
      <c r="K98" s="10" t="s">
        <v>20</v>
      </c>
      <c r="L98" s="17"/>
      <c r="M98" s="13" t="str">
        <f t="shared" si="1"/>
        <v>mobile</v>
      </c>
      <c r="N98" s="13" t="str">
        <f t="shared" si="2"/>
        <v>mobile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6" t="s">
        <v>86</v>
      </c>
      <c r="C99" s="7" t="s">
        <v>87</v>
      </c>
      <c r="D99" s="8" t="s">
        <v>1238</v>
      </c>
      <c r="E99" s="9" t="s">
        <v>1239</v>
      </c>
      <c r="F99" s="10" t="s">
        <v>1240</v>
      </c>
      <c r="G99" s="10" t="s">
        <v>1241</v>
      </c>
      <c r="H99" s="10" t="s">
        <v>37</v>
      </c>
      <c r="I99" s="11">
        <v>46041.0</v>
      </c>
      <c r="J99" s="11">
        <v>46041.0</v>
      </c>
      <c r="K99" s="10" t="s">
        <v>20</v>
      </c>
      <c r="L99" s="17"/>
      <c r="M99" s="13" t="str">
        <f t="shared" si="1"/>
        <v>mobile</v>
      </c>
      <c r="N99" s="13" t="str">
        <f t="shared" si="2"/>
        <v>mobile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6" t="s">
        <v>45</v>
      </c>
      <c r="C100" s="7" t="s">
        <v>1242</v>
      </c>
      <c r="D100" s="14" t="s">
        <v>1243</v>
      </c>
      <c r="E100" s="9" t="s">
        <v>1244</v>
      </c>
      <c r="F100" s="10" t="s">
        <v>1245</v>
      </c>
      <c r="G100" s="10" t="s">
        <v>1246</v>
      </c>
      <c r="H100" s="10" t="s">
        <v>66</v>
      </c>
      <c r="I100" s="11">
        <v>46041.0</v>
      </c>
      <c r="J100" s="11">
        <v>46042.0</v>
      </c>
      <c r="K100" s="10" t="s">
        <v>20</v>
      </c>
      <c r="L100" s="17"/>
      <c r="M100" s="13" t="str">
        <f t="shared" si="1"/>
        <v>mobile</v>
      </c>
      <c r="N100" s="13" t="str">
        <f t="shared" si="2"/>
        <v>mobile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6" t="s">
        <v>45</v>
      </c>
      <c r="C101" s="7" t="s">
        <v>1242</v>
      </c>
      <c r="D101" s="21"/>
      <c r="E101" s="9" t="s">
        <v>1244</v>
      </c>
      <c r="F101" s="10" t="s">
        <v>1245</v>
      </c>
      <c r="G101" s="10" t="s">
        <v>1247</v>
      </c>
      <c r="H101" s="10" t="s">
        <v>68</v>
      </c>
      <c r="I101" s="11">
        <v>46041.0</v>
      </c>
      <c r="J101" s="11">
        <v>46042.0</v>
      </c>
      <c r="K101" s="10" t="s">
        <v>20</v>
      </c>
      <c r="L101" s="17"/>
      <c r="M101" s="13" t="str">
        <f t="shared" si="1"/>
        <v>fissa </v>
      </c>
      <c r="N101" s="13" t="str">
        <f t="shared" si="2"/>
        <v>fissa 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6" t="s">
        <v>45</v>
      </c>
      <c r="C102" s="7" t="s">
        <v>1242</v>
      </c>
      <c r="D102" s="18"/>
      <c r="E102" s="9" t="s">
        <v>1244</v>
      </c>
      <c r="F102" s="10" t="s">
        <v>1245</v>
      </c>
      <c r="G102" s="10" t="s">
        <v>1248</v>
      </c>
      <c r="H102" s="10" t="s">
        <v>37</v>
      </c>
      <c r="I102" s="11">
        <v>46041.0</v>
      </c>
      <c r="J102" s="11">
        <v>46042.0</v>
      </c>
      <c r="K102" s="10" t="s">
        <v>20</v>
      </c>
      <c r="L102" s="17"/>
      <c r="M102" s="13" t="str">
        <f t="shared" si="1"/>
        <v>mobile</v>
      </c>
      <c r="N102" s="13" t="str">
        <f t="shared" si="2"/>
        <v>mobile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6" t="s">
        <v>45</v>
      </c>
      <c r="C103" s="7" t="s">
        <v>1242</v>
      </c>
      <c r="D103" s="21"/>
      <c r="E103" s="9" t="s">
        <v>1244</v>
      </c>
      <c r="F103" s="10" t="s">
        <v>1245</v>
      </c>
      <c r="G103" s="10" t="s">
        <v>1249</v>
      </c>
      <c r="H103" s="10" t="s">
        <v>37</v>
      </c>
      <c r="I103" s="11">
        <v>46041.0</v>
      </c>
      <c r="J103" s="11">
        <v>46042.0</v>
      </c>
      <c r="K103" s="10" t="s">
        <v>20</v>
      </c>
      <c r="L103" s="17"/>
      <c r="M103" s="13" t="str">
        <f t="shared" si="1"/>
        <v>mobile</v>
      </c>
      <c r="N103" s="13" t="str">
        <f t="shared" si="2"/>
        <v>mobile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6" t="s">
        <v>45</v>
      </c>
      <c r="C104" s="7" t="s">
        <v>1242</v>
      </c>
      <c r="D104" s="18"/>
      <c r="E104" s="9" t="s">
        <v>1244</v>
      </c>
      <c r="F104" s="10" t="s">
        <v>1245</v>
      </c>
      <c r="G104" s="10" t="s">
        <v>1250</v>
      </c>
      <c r="H104" s="10" t="s">
        <v>37</v>
      </c>
      <c r="I104" s="11">
        <v>46041.0</v>
      </c>
      <c r="J104" s="11">
        <v>46042.0</v>
      </c>
      <c r="K104" s="10" t="s">
        <v>20</v>
      </c>
      <c r="L104" s="17"/>
      <c r="M104" s="13" t="str">
        <f t="shared" si="1"/>
        <v>mobile</v>
      </c>
      <c r="N104" s="13" t="str">
        <f t="shared" si="2"/>
        <v>mobile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6" t="s">
        <v>45</v>
      </c>
      <c r="C105" s="7" t="s">
        <v>1242</v>
      </c>
      <c r="D105" s="18"/>
      <c r="E105" s="9" t="s">
        <v>1244</v>
      </c>
      <c r="F105" s="10" t="s">
        <v>1245</v>
      </c>
      <c r="G105" s="10" t="s">
        <v>1251</v>
      </c>
      <c r="H105" s="10" t="s">
        <v>37</v>
      </c>
      <c r="I105" s="11">
        <v>46041.0</v>
      </c>
      <c r="J105" s="11">
        <v>46042.0</v>
      </c>
      <c r="K105" s="10" t="s">
        <v>20</v>
      </c>
      <c r="L105" s="17"/>
      <c r="M105" s="13" t="str">
        <f t="shared" si="1"/>
        <v>mobile</v>
      </c>
      <c r="N105" s="13" t="str">
        <f t="shared" si="2"/>
        <v>mobile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6" t="s">
        <v>494</v>
      </c>
      <c r="C106" s="7" t="s">
        <v>1242</v>
      </c>
      <c r="D106" s="14" t="s">
        <v>1252</v>
      </c>
      <c r="E106" s="9" t="s">
        <v>1209</v>
      </c>
      <c r="F106" s="10" t="s">
        <v>1210</v>
      </c>
      <c r="G106" s="10" t="s">
        <v>1253</v>
      </c>
      <c r="H106" s="10" t="s">
        <v>37</v>
      </c>
      <c r="I106" s="11">
        <v>46042.0</v>
      </c>
      <c r="J106" s="11">
        <v>46042.0</v>
      </c>
      <c r="K106" s="10" t="s">
        <v>20</v>
      </c>
      <c r="L106" s="17"/>
      <c r="M106" s="13" t="str">
        <f t="shared" si="1"/>
        <v>mobile</v>
      </c>
      <c r="N106" s="13" t="str">
        <f t="shared" si="2"/>
        <v>mobile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6" t="s">
        <v>494</v>
      </c>
      <c r="C107" s="7" t="s">
        <v>46</v>
      </c>
      <c r="D107" s="18"/>
      <c r="E107" s="9" t="s">
        <v>1209</v>
      </c>
      <c r="F107" s="10" t="s">
        <v>1210</v>
      </c>
      <c r="G107" s="10" t="s">
        <v>1254</v>
      </c>
      <c r="H107" s="10" t="s">
        <v>37</v>
      </c>
      <c r="I107" s="11">
        <v>46042.0</v>
      </c>
      <c r="J107" s="11">
        <v>46042.0</v>
      </c>
      <c r="K107" s="10" t="s">
        <v>20</v>
      </c>
      <c r="L107" s="17"/>
      <c r="M107" s="13" t="str">
        <f t="shared" si="1"/>
        <v>mobile</v>
      </c>
      <c r="N107" s="13" t="str">
        <f t="shared" si="2"/>
        <v>mobile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6" t="s">
        <v>494</v>
      </c>
      <c r="C108" s="7" t="s">
        <v>46</v>
      </c>
      <c r="D108" s="21"/>
      <c r="E108" s="9" t="s">
        <v>1209</v>
      </c>
      <c r="F108" s="10" t="s">
        <v>1210</v>
      </c>
      <c r="G108" s="10" t="s">
        <v>1255</v>
      </c>
      <c r="H108" s="10" t="s">
        <v>37</v>
      </c>
      <c r="I108" s="11">
        <v>46042.0</v>
      </c>
      <c r="J108" s="11">
        <v>46042.0</v>
      </c>
      <c r="K108" s="10" t="s">
        <v>20</v>
      </c>
      <c r="L108" s="17"/>
      <c r="M108" s="13" t="str">
        <f t="shared" si="1"/>
        <v>mobile</v>
      </c>
      <c r="N108" s="13" t="str">
        <f t="shared" si="2"/>
        <v>mobile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6" t="s">
        <v>45</v>
      </c>
      <c r="C109" s="7" t="s">
        <v>46</v>
      </c>
      <c r="D109" s="14" t="s">
        <v>1256</v>
      </c>
      <c r="E109" s="9" t="s">
        <v>1209</v>
      </c>
      <c r="F109" s="10" t="s">
        <v>1210</v>
      </c>
      <c r="G109" s="10" t="s">
        <v>1257</v>
      </c>
      <c r="H109" s="10" t="s">
        <v>66</v>
      </c>
      <c r="I109" s="11">
        <v>46042.0</v>
      </c>
      <c r="J109" s="11">
        <v>46043.0</v>
      </c>
      <c r="K109" s="10" t="s">
        <v>20</v>
      </c>
      <c r="L109" s="17"/>
      <c r="M109" s="13" t="str">
        <f t="shared" si="1"/>
        <v>mobile</v>
      </c>
      <c r="N109" s="13" t="str">
        <f t="shared" si="2"/>
        <v>mobile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6" t="s">
        <v>45</v>
      </c>
      <c r="C110" s="7" t="s">
        <v>46</v>
      </c>
      <c r="D110" s="18"/>
      <c r="E110" s="9" t="s">
        <v>1209</v>
      </c>
      <c r="F110" s="10" t="s">
        <v>1210</v>
      </c>
      <c r="G110" s="10" t="s">
        <v>1258</v>
      </c>
      <c r="H110" s="10" t="s">
        <v>68</v>
      </c>
      <c r="I110" s="11">
        <v>46042.0</v>
      </c>
      <c r="J110" s="11">
        <v>46043.0</v>
      </c>
      <c r="K110" s="10" t="s">
        <v>20</v>
      </c>
      <c r="L110" s="17"/>
      <c r="M110" s="13" t="str">
        <f t="shared" si="1"/>
        <v>fissa </v>
      </c>
      <c r="N110" s="13" t="str">
        <f t="shared" si="2"/>
        <v>fissa 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6" t="s">
        <v>45</v>
      </c>
      <c r="C111" s="7" t="s">
        <v>46</v>
      </c>
      <c r="D111" s="21"/>
      <c r="E111" s="9" t="s">
        <v>1209</v>
      </c>
      <c r="F111" s="10" t="s">
        <v>1210</v>
      </c>
      <c r="G111" s="10" t="s">
        <v>1259</v>
      </c>
      <c r="H111" s="10" t="s">
        <v>537</v>
      </c>
      <c r="I111" s="11">
        <v>46042.0</v>
      </c>
      <c r="J111" s="11">
        <v>46043.0</v>
      </c>
      <c r="K111" s="10" t="s">
        <v>20</v>
      </c>
      <c r="L111" s="17"/>
      <c r="M111" s="13" t="str">
        <f t="shared" si="1"/>
        <v>fissa </v>
      </c>
      <c r="N111" s="13" t="str">
        <f t="shared" si="2"/>
        <v>fissa 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6" t="s">
        <v>45</v>
      </c>
      <c r="C112" s="7" t="s">
        <v>46</v>
      </c>
      <c r="D112" s="8" t="s">
        <v>1260</v>
      </c>
      <c r="E112" s="9" t="s">
        <v>1261</v>
      </c>
      <c r="F112" s="10" t="s">
        <v>1262</v>
      </c>
      <c r="G112" s="10" t="s">
        <v>1263</v>
      </c>
      <c r="H112" s="10" t="s">
        <v>68</v>
      </c>
      <c r="I112" s="11">
        <v>46042.0</v>
      </c>
      <c r="J112" s="11">
        <v>46043.0</v>
      </c>
      <c r="K112" s="10" t="s">
        <v>20</v>
      </c>
      <c r="L112" s="17"/>
      <c r="M112" s="13" t="str">
        <f t="shared" si="1"/>
        <v>fissa </v>
      </c>
      <c r="N112" s="13" t="str">
        <f t="shared" si="2"/>
        <v>fissa 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6" t="s">
        <v>45</v>
      </c>
      <c r="C113" s="7" t="s">
        <v>46</v>
      </c>
      <c r="D113" s="18"/>
      <c r="E113" s="9" t="s">
        <v>1261</v>
      </c>
      <c r="F113" s="10" t="s">
        <v>1262</v>
      </c>
      <c r="G113" s="10" t="s">
        <v>1264</v>
      </c>
      <c r="H113" s="10" t="s">
        <v>66</v>
      </c>
      <c r="I113" s="45">
        <v>46042.0</v>
      </c>
      <c r="J113" s="11">
        <v>46043.0</v>
      </c>
      <c r="K113" s="10" t="s">
        <v>20</v>
      </c>
      <c r="L113" s="17"/>
      <c r="M113" s="13" t="str">
        <f t="shared" si="1"/>
        <v>mobile</v>
      </c>
      <c r="N113" s="13" t="str">
        <f t="shared" si="2"/>
        <v>mobile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6" t="s">
        <v>13</v>
      </c>
      <c r="C114" s="7" t="s">
        <v>1265</v>
      </c>
      <c r="D114" s="14" t="s">
        <v>1266</v>
      </c>
      <c r="E114" s="9" t="s">
        <v>1267</v>
      </c>
      <c r="F114" s="10" t="s">
        <v>1268</v>
      </c>
      <c r="G114" s="10" t="s">
        <v>1269</v>
      </c>
      <c r="H114" s="10" t="s">
        <v>44</v>
      </c>
      <c r="I114" s="19">
        <v>46044.0</v>
      </c>
      <c r="J114" s="11">
        <v>46045.0</v>
      </c>
      <c r="K114" s="10" t="s">
        <v>20</v>
      </c>
      <c r="L114" s="17"/>
      <c r="M114" s="13" t="str">
        <f t="shared" si="1"/>
        <v>fissa </v>
      </c>
      <c r="N114" s="13" t="str">
        <f t="shared" si="2"/>
        <v>fissa 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6" t="s">
        <v>38</v>
      </c>
      <c r="C115" s="7" t="s">
        <v>39</v>
      </c>
      <c r="D115" s="8" t="s">
        <v>1270</v>
      </c>
      <c r="E115" s="9" t="s">
        <v>1271</v>
      </c>
      <c r="F115" s="10" t="s">
        <v>1272</v>
      </c>
      <c r="G115" s="10" t="s">
        <v>1273</v>
      </c>
      <c r="H115" s="10" t="s">
        <v>32</v>
      </c>
      <c r="I115" s="11">
        <v>46043.0</v>
      </c>
      <c r="J115" s="11">
        <v>46044.0</v>
      </c>
      <c r="K115" s="10" t="s">
        <v>20</v>
      </c>
      <c r="L115" s="17"/>
      <c r="M115" s="13" t="str">
        <f t="shared" si="1"/>
        <v>fissa </v>
      </c>
      <c r="N115" s="13" t="str">
        <f t="shared" si="2"/>
        <v>fissa 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6" t="s">
        <v>38</v>
      </c>
      <c r="C116" s="7" t="s">
        <v>39</v>
      </c>
      <c r="D116" s="8" t="s">
        <v>1274</v>
      </c>
      <c r="E116" s="9" t="s">
        <v>1275</v>
      </c>
      <c r="F116" s="10" t="s">
        <v>1276</v>
      </c>
      <c r="G116" s="10" t="s">
        <v>1277</v>
      </c>
      <c r="H116" s="10" t="s">
        <v>37</v>
      </c>
      <c r="I116" s="19">
        <v>46043.0</v>
      </c>
      <c r="J116" s="11">
        <v>46043.0</v>
      </c>
      <c r="K116" s="10" t="s">
        <v>20</v>
      </c>
      <c r="L116" s="17"/>
      <c r="M116" s="13" t="str">
        <f t="shared" si="1"/>
        <v>mobile</v>
      </c>
      <c r="N116" s="13" t="str">
        <f t="shared" si="2"/>
        <v>mobile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6" t="s">
        <v>38</v>
      </c>
      <c r="C117" s="7" t="s">
        <v>39</v>
      </c>
      <c r="D117" s="18"/>
      <c r="E117" s="9" t="s">
        <v>1275</v>
      </c>
      <c r="F117" s="10" t="s">
        <v>1276</v>
      </c>
      <c r="G117" s="10" t="s">
        <v>1278</v>
      </c>
      <c r="H117" s="10" t="s">
        <v>37</v>
      </c>
      <c r="I117" s="11">
        <v>46043.0</v>
      </c>
      <c r="J117" s="11">
        <v>46043.0</v>
      </c>
      <c r="K117" s="10" t="s">
        <v>20</v>
      </c>
      <c r="L117" s="17"/>
      <c r="M117" s="13" t="str">
        <f t="shared" si="1"/>
        <v>mobile</v>
      </c>
      <c r="N117" s="13" t="str">
        <f t="shared" si="2"/>
        <v>mobile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6" t="s">
        <v>38</v>
      </c>
      <c r="C118" s="59"/>
      <c r="D118" s="8" t="s">
        <v>1279</v>
      </c>
      <c r="E118" s="9" t="s">
        <v>818</v>
      </c>
      <c r="F118" s="10" t="s">
        <v>1280</v>
      </c>
      <c r="G118" s="10" t="s">
        <v>1281</v>
      </c>
      <c r="H118" s="10" t="s">
        <v>44</v>
      </c>
      <c r="I118" s="19">
        <v>46046.0</v>
      </c>
      <c r="J118" s="11">
        <v>46048.0</v>
      </c>
      <c r="K118" s="10" t="s">
        <v>20</v>
      </c>
      <c r="L118" s="17"/>
      <c r="M118" s="13" t="str">
        <f t="shared" si="1"/>
        <v>fissa </v>
      </c>
      <c r="N118" s="13" t="str">
        <f t="shared" si="2"/>
        <v>fissa 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6" t="s">
        <v>38</v>
      </c>
      <c r="C119" s="7" t="s">
        <v>39</v>
      </c>
      <c r="D119" s="14" t="s">
        <v>1282</v>
      </c>
      <c r="E119" s="9" t="s">
        <v>426</v>
      </c>
      <c r="F119" s="10" t="s">
        <v>427</v>
      </c>
      <c r="G119" s="10" t="s">
        <v>1283</v>
      </c>
      <c r="H119" s="10" t="s">
        <v>37</v>
      </c>
      <c r="I119" s="11">
        <v>46043.0</v>
      </c>
      <c r="J119" s="11">
        <v>46043.0</v>
      </c>
      <c r="K119" s="10" t="s">
        <v>20</v>
      </c>
      <c r="L119" s="17"/>
      <c r="M119" s="13" t="str">
        <f t="shared" si="1"/>
        <v>mobile</v>
      </c>
      <c r="N119" s="13" t="str">
        <f t="shared" si="2"/>
        <v>mobile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6" t="s">
        <v>38</v>
      </c>
      <c r="C120" s="7" t="s">
        <v>39</v>
      </c>
      <c r="D120" s="21"/>
      <c r="E120" s="9" t="s">
        <v>426</v>
      </c>
      <c r="F120" s="10" t="s">
        <v>427</v>
      </c>
      <c r="G120" s="10" t="s">
        <v>1284</v>
      </c>
      <c r="H120" s="10" t="s">
        <v>37</v>
      </c>
      <c r="I120" s="11">
        <v>46043.0</v>
      </c>
      <c r="J120" s="11">
        <v>46043.0</v>
      </c>
      <c r="K120" s="10" t="s">
        <v>20</v>
      </c>
      <c r="L120" s="17"/>
      <c r="M120" s="13" t="str">
        <f t="shared" si="1"/>
        <v>mobile</v>
      </c>
      <c r="N120" s="13" t="str">
        <f t="shared" si="2"/>
        <v>mobile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6" t="s">
        <v>38</v>
      </c>
      <c r="C121" s="7" t="s">
        <v>39</v>
      </c>
      <c r="D121" s="14" t="s">
        <v>1285</v>
      </c>
      <c r="E121" s="9" t="s">
        <v>1286</v>
      </c>
      <c r="F121" s="10" t="s">
        <v>1287</v>
      </c>
      <c r="G121" s="10" t="s">
        <v>1288</v>
      </c>
      <c r="H121" s="10" t="s">
        <v>66</v>
      </c>
      <c r="I121" s="46">
        <v>46043.0</v>
      </c>
      <c r="J121" s="11">
        <v>46044.0</v>
      </c>
      <c r="K121" s="10" t="s">
        <v>20</v>
      </c>
      <c r="L121" s="17"/>
      <c r="M121" s="13" t="str">
        <f t="shared" si="1"/>
        <v>mobile</v>
      </c>
      <c r="N121" s="13" t="str">
        <f t="shared" si="2"/>
        <v>mobile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6" t="s">
        <v>38</v>
      </c>
      <c r="C122" s="7" t="s">
        <v>39</v>
      </c>
      <c r="D122" s="21"/>
      <c r="E122" s="9" t="s">
        <v>1286</v>
      </c>
      <c r="F122" s="10" t="s">
        <v>1289</v>
      </c>
      <c r="G122" s="10" t="s">
        <v>1290</v>
      </c>
      <c r="H122" s="10" t="s">
        <v>68</v>
      </c>
      <c r="I122" s="11">
        <v>46043.0</v>
      </c>
      <c r="J122" s="11">
        <v>46044.0</v>
      </c>
      <c r="K122" s="10" t="s">
        <v>20</v>
      </c>
      <c r="L122" s="17"/>
      <c r="M122" s="13" t="str">
        <f t="shared" si="1"/>
        <v>fissa </v>
      </c>
      <c r="N122" s="13" t="str">
        <f t="shared" si="2"/>
        <v>fissa 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6" t="s">
        <v>38</v>
      </c>
      <c r="C123" s="7" t="s">
        <v>39</v>
      </c>
      <c r="D123" s="8" t="s">
        <v>1291</v>
      </c>
      <c r="E123" s="9" t="s">
        <v>1275</v>
      </c>
      <c r="F123" s="10" t="s">
        <v>1276</v>
      </c>
      <c r="G123" s="10" t="s">
        <v>1292</v>
      </c>
      <c r="H123" s="10" t="s">
        <v>32</v>
      </c>
      <c r="I123" s="11">
        <v>46044.0</v>
      </c>
      <c r="J123" s="11">
        <v>46045.0</v>
      </c>
      <c r="K123" s="10" t="s">
        <v>20</v>
      </c>
      <c r="L123" s="17"/>
      <c r="M123" s="13" t="str">
        <f t="shared" si="1"/>
        <v>fissa </v>
      </c>
      <c r="N123" s="13" t="str">
        <f t="shared" si="2"/>
        <v>fissa 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6" t="s">
        <v>45</v>
      </c>
      <c r="C124" s="7" t="s">
        <v>46</v>
      </c>
      <c r="D124" s="8" t="s">
        <v>1293</v>
      </c>
      <c r="E124" s="9" t="s">
        <v>1294</v>
      </c>
      <c r="F124" s="10" t="s">
        <v>1295</v>
      </c>
      <c r="G124" s="10" t="s">
        <v>1296</v>
      </c>
      <c r="H124" s="10" t="s">
        <v>37</v>
      </c>
      <c r="I124" s="11">
        <v>46045.0</v>
      </c>
      <c r="J124" s="11">
        <v>46048.0</v>
      </c>
      <c r="K124" s="10" t="s">
        <v>20</v>
      </c>
      <c r="L124" s="17"/>
      <c r="M124" s="13" t="str">
        <f t="shared" si="1"/>
        <v>mobile</v>
      </c>
      <c r="N124" s="13" t="str">
        <f t="shared" si="2"/>
        <v>mobile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6" t="s">
        <v>45</v>
      </c>
      <c r="C125" s="7" t="s">
        <v>46</v>
      </c>
      <c r="D125" s="14"/>
      <c r="E125" s="9" t="s">
        <v>1294</v>
      </c>
      <c r="F125" s="10" t="s">
        <v>1295</v>
      </c>
      <c r="G125" s="10" t="s">
        <v>1297</v>
      </c>
      <c r="H125" s="10" t="s">
        <v>44</v>
      </c>
      <c r="I125" s="11">
        <v>46045.0</v>
      </c>
      <c r="J125" s="11">
        <v>46048.0</v>
      </c>
      <c r="K125" s="10" t="s">
        <v>20</v>
      </c>
      <c r="L125" s="17"/>
      <c r="M125" s="13" t="str">
        <f t="shared" si="1"/>
        <v>fissa </v>
      </c>
      <c r="N125" s="13" t="str">
        <f t="shared" si="2"/>
        <v>fissa 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6" t="s">
        <v>86</v>
      </c>
      <c r="C126" s="7" t="s">
        <v>14</v>
      </c>
      <c r="D126" s="8" t="s">
        <v>1298</v>
      </c>
      <c r="E126" s="9" t="s">
        <v>1299</v>
      </c>
      <c r="F126" s="10" t="s">
        <v>1300</v>
      </c>
      <c r="G126" s="10" t="s">
        <v>1301</v>
      </c>
      <c r="H126" s="10" t="s">
        <v>37</v>
      </c>
      <c r="I126" s="11">
        <v>46044.0</v>
      </c>
      <c r="J126" s="11">
        <v>46044.0</v>
      </c>
      <c r="K126" s="10" t="s">
        <v>20</v>
      </c>
      <c r="L126" s="17"/>
      <c r="M126" s="13" t="str">
        <f t="shared" si="1"/>
        <v>mobile</v>
      </c>
      <c r="N126" s="13" t="str">
        <f t="shared" si="2"/>
        <v>mobile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6" t="s">
        <v>86</v>
      </c>
      <c r="C127" s="7" t="s">
        <v>14</v>
      </c>
      <c r="D127" s="18"/>
      <c r="E127" s="9" t="s">
        <v>1299</v>
      </c>
      <c r="F127" s="10" t="s">
        <v>1300</v>
      </c>
      <c r="G127" s="10" t="s">
        <v>1302</v>
      </c>
      <c r="H127" s="10" t="s">
        <v>537</v>
      </c>
      <c r="I127" s="11">
        <v>46044.0</v>
      </c>
      <c r="J127" s="11">
        <v>46044.0</v>
      </c>
      <c r="K127" s="10" t="s">
        <v>20</v>
      </c>
      <c r="L127" s="17"/>
      <c r="M127" s="13" t="str">
        <f t="shared" si="1"/>
        <v>fissa </v>
      </c>
      <c r="N127" s="13" t="str">
        <f t="shared" si="2"/>
        <v>fissa 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6" t="s">
        <v>86</v>
      </c>
      <c r="C128" s="7" t="s">
        <v>14</v>
      </c>
      <c r="D128" s="14" t="s">
        <v>1303</v>
      </c>
      <c r="E128" s="9" t="s">
        <v>1304</v>
      </c>
      <c r="F128" s="10" t="s">
        <v>1305</v>
      </c>
      <c r="G128" s="10" t="s">
        <v>1306</v>
      </c>
      <c r="H128" s="10" t="s">
        <v>44</v>
      </c>
      <c r="I128" s="11">
        <v>46044.0</v>
      </c>
      <c r="J128" s="11">
        <v>46045.0</v>
      </c>
      <c r="K128" s="10" t="s">
        <v>20</v>
      </c>
      <c r="L128" s="17"/>
      <c r="M128" s="13" t="str">
        <f t="shared" si="1"/>
        <v>fissa </v>
      </c>
      <c r="N128" s="13" t="str">
        <f t="shared" si="2"/>
        <v>fissa 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6" t="s">
        <v>86</v>
      </c>
      <c r="C129" s="7" t="s">
        <v>87</v>
      </c>
      <c r="D129" s="14" t="s">
        <v>1307</v>
      </c>
      <c r="E129" s="9" t="s">
        <v>491</v>
      </c>
      <c r="F129" s="10" t="s">
        <v>492</v>
      </c>
      <c r="G129" s="10" t="s">
        <v>1308</v>
      </c>
      <c r="H129" s="10" t="s">
        <v>37</v>
      </c>
      <c r="I129" s="11">
        <v>46045.0</v>
      </c>
      <c r="J129" s="11">
        <v>46045.0</v>
      </c>
      <c r="K129" s="10" t="s">
        <v>20</v>
      </c>
      <c r="L129" s="17"/>
      <c r="M129" s="13" t="str">
        <f t="shared" si="1"/>
        <v>mobile</v>
      </c>
      <c r="N129" s="13" t="str">
        <f t="shared" si="2"/>
        <v>mobile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6" t="s">
        <v>13</v>
      </c>
      <c r="C130" s="7" t="s">
        <v>1265</v>
      </c>
      <c r="D130" s="8" t="s">
        <v>1309</v>
      </c>
      <c r="E130" s="9" t="s">
        <v>1310</v>
      </c>
      <c r="F130" s="10" t="s">
        <v>1311</v>
      </c>
      <c r="G130" s="10" t="s">
        <v>1312</v>
      </c>
      <c r="H130" s="10" t="s">
        <v>25</v>
      </c>
      <c r="I130" s="11">
        <v>46045.0</v>
      </c>
      <c r="J130" s="11">
        <v>46048.0</v>
      </c>
      <c r="K130" s="10" t="s">
        <v>20</v>
      </c>
      <c r="L130" s="17"/>
      <c r="M130" s="13" t="str">
        <f t="shared" si="1"/>
        <v>mobile</v>
      </c>
      <c r="N130" s="13" t="str">
        <f t="shared" si="2"/>
        <v>mobile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6" t="s">
        <v>13</v>
      </c>
      <c r="C131" s="7" t="s">
        <v>142</v>
      </c>
      <c r="D131" s="14" t="s">
        <v>981</v>
      </c>
      <c r="E131" s="9" t="s">
        <v>979</v>
      </c>
      <c r="F131" s="10" t="s">
        <v>1313</v>
      </c>
      <c r="G131" s="10" t="s">
        <v>1314</v>
      </c>
      <c r="H131" s="10" t="s">
        <v>66</v>
      </c>
      <c r="I131" s="11">
        <v>46045.0</v>
      </c>
      <c r="J131" s="11">
        <v>46048.0</v>
      </c>
      <c r="K131" s="10" t="s">
        <v>20</v>
      </c>
      <c r="L131" s="17"/>
      <c r="M131" s="13" t="str">
        <f t="shared" si="1"/>
        <v>mobile</v>
      </c>
      <c r="N131" s="13" t="str">
        <f t="shared" si="2"/>
        <v>mobile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6" t="s">
        <v>13</v>
      </c>
      <c r="C132" s="7" t="s">
        <v>142</v>
      </c>
      <c r="D132" s="18"/>
      <c r="E132" s="9" t="s">
        <v>979</v>
      </c>
      <c r="F132" s="10" t="s">
        <v>1313</v>
      </c>
      <c r="G132" s="10" t="s">
        <v>1315</v>
      </c>
      <c r="H132" s="10" t="s">
        <v>68</v>
      </c>
      <c r="I132" s="11">
        <v>46045.0</v>
      </c>
      <c r="J132" s="11">
        <v>46048.0</v>
      </c>
      <c r="K132" s="10" t="s">
        <v>20</v>
      </c>
      <c r="L132" s="17"/>
      <c r="M132" s="13" t="str">
        <f t="shared" si="1"/>
        <v>fissa </v>
      </c>
      <c r="N132" s="13" t="str">
        <f t="shared" si="2"/>
        <v>fissa 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6" t="s">
        <v>13</v>
      </c>
      <c r="C133" s="7" t="s">
        <v>142</v>
      </c>
      <c r="D133" s="18"/>
      <c r="E133" s="9" t="s">
        <v>979</v>
      </c>
      <c r="F133" s="10" t="s">
        <v>1313</v>
      </c>
      <c r="G133" s="10" t="s">
        <v>53</v>
      </c>
      <c r="H133" s="10" t="s">
        <v>54</v>
      </c>
      <c r="I133" s="11">
        <v>46045.0</v>
      </c>
      <c r="J133" s="60"/>
      <c r="K133" s="10" t="s">
        <v>529</v>
      </c>
      <c r="L133" s="17"/>
      <c r="M133" s="13" t="str">
        <f t="shared" si="1"/>
        <v>easy r</v>
      </c>
      <c r="N133" s="13" t="str">
        <f t="shared" si="2"/>
        <v/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6" t="s">
        <v>207</v>
      </c>
      <c r="C134" s="7" t="s">
        <v>208</v>
      </c>
      <c r="D134" s="14" t="s">
        <v>1316</v>
      </c>
      <c r="E134" s="9" t="s">
        <v>864</v>
      </c>
      <c r="F134" s="10" t="s">
        <v>865</v>
      </c>
      <c r="G134" s="10" t="s">
        <v>1317</v>
      </c>
      <c r="H134" s="10" t="s">
        <v>66</v>
      </c>
      <c r="I134" s="11">
        <v>46045.0</v>
      </c>
      <c r="J134" s="11">
        <v>46050.0</v>
      </c>
      <c r="K134" s="10" t="s">
        <v>20</v>
      </c>
      <c r="L134" s="17"/>
      <c r="M134" s="13" t="str">
        <f t="shared" si="1"/>
        <v>mobile</v>
      </c>
      <c r="N134" s="13" t="str">
        <f t="shared" si="2"/>
        <v>mobile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6" t="s">
        <v>207</v>
      </c>
      <c r="C135" s="7" t="s">
        <v>208</v>
      </c>
      <c r="D135" s="21"/>
      <c r="E135" s="9" t="s">
        <v>864</v>
      </c>
      <c r="F135" s="10" t="s">
        <v>865</v>
      </c>
      <c r="G135" s="10" t="s">
        <v>1318</v>
      </c>
      <c r="H135" s="10" t="s">
        <v>68</v>
      </c>
      <c r="I135" s="19">
        <v>46045.0</v>
      </c>
      <c r="J135" s="15">
        <v>46050.0</v>
      </c>
      <c r="K135" s="12" t="s">
        <v>20</v>
      </c>
      <c r="L135" s="17"/>
      <c r="M135" s="13" t="str">
        <f t="shared" si="1"/>
        <v>fissa </v>
      </c>
      <c r="N135" s="13" t="str">
        <f t="shared" si="2"/>
        <v>fissa 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6" t="s">
        <v>494</v>
      </c>
      <c r="C136" s="7" t="s">
        <v>1242</v>
      </c>
      <c r="D136" s="8" t="s">
        <v>1319</v>
      </c>
      <c r="E136" s="9" t="s">
        <v>1244</v>
      </c>
      <c r="F136" s="10" t="s">
        <v>1245</v>
      </c>
      <c r="G136" s="10" t="s">
        <v>1320</v>
      </c>
      <c r="H136" s="10" t="s">
        <v>44</v>
      </c>
      <c r="I136" s="19">
        <v>46049.0</v>
      </c>
      <c r="J136" s="11">
        <v>46050.0</v>
      </c>
      <c r="K136" s="10" t="s">
        <v>20</v>
      </c>
      <c r="L136" s="17"/>
      <c r="M136" s="13" t="str">
        <f t="shared" si="1"/>
        <v>fissa </v>
      </c>
      <c r="N136" s="13" t="str">
        <f t="shared" si="2"/>
        <v>fissa 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6" t="s">
        <v>45</v>
      </c>
      <c r="C137" s="7" t="s">
        <v>46</v>
      </c>
      <c r="D137" s="8" t="s">
        <v>1321</v>
      </c>
      <c r="E137" s="9" t="s">
        <v>1322</v>
      </c>
      <c r="F137" s="10" t="s">
        <v>1323</v>
      </c>
      <c r="G137" s="10" t="s">
        <v>1324</v>
      </c>
      <c r="H137" s="10" t="s">
        <v>44</v>
      </c>
      <c r="I137" s="11">
        <v>46049.0</v>
      </c>
      <c r="J137" s="11">
        <v>46050.0</v>
      </c>
      <c r="K137" s="10" t="s">
        <v>20</v>
      </c>
      <c r="L137" s="17"/>
      <c r="M137" s="13" t="str">
        <f t="shared" si="1"/>
        <v>fissa </v>
      </c>
      <c r="N137" s="13" t="str">
        <f t="shared" si="2"/>
        <v>fissa 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6" t="s">
        <v>13</v>
      </c>
      <c r="C138" s="7" t="s">
        <v>142</v>
      </c>
      <c r="D138" s="14" t="s">
        <v>978</v>
      </c>
      <c r="E138" s="9" t="s">
        <v>979</v>
      </c>
      <c r="F138" s="10" t="s">
        <v>1313</v>
      </c>
      <c r="G138" s="10" t="s">
        <v>1325</v>
      </c>
      <c r="H138" s="10" t="s">
        <v>66</v>
      </c>
      <c r="I138" s="11">
        <v>46048.0</v>
      </c>
      <c r="J138" s="11">
        <v>46050.0</v>
      </c>
      <c r="K138" s="10" t="s">
        <v>20</v>
      </c>
      <c r="L138" s="17"/>
      <c r="M138" s="13" t="str">
        <f t="shared" si="1"/>
        <v>mobile</v>
      </c>
      <c r="N138" s="13" t="str">
        <f t="shared" si="2"/>
        <v>mobile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6" t="s">
        <v>13</v>
      </c>
      <c r="C139" s="7" t="s">
        <v>142</v>
      </c>
      <c r="D139" s="18"/>
      <c r="E139" s="9" t="s">
        <v>979</v>
      </c>
      <c r="F139" s="10" t="s">
        <v>1313</v>
      </c>
      <c r="G139" s="10" t="s">
        <v>1326</v>
      </c>
      <c r="H139" s="10" t="s">
        <v>68</v>
      </c>
      <c r="I139" s="11">
        <v>46048.0</v>
      </c>
      <c r="J139" s="11">
        <v>46050.0</v>
      </c>
      <c r="K139" s="10" t="s">
        <v>20</v>
      </c>
      <c r="L139" s="17"/>
      <c r="M139" s="13" t="str">
        <f t="shared" si="1"/>
        <v>fissa </v>
      </c>
      <c r="N139" s="13" t="str">
        <f t="shared" si="2"/>
        <v>fissa 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6" t="s">
        <v>13</v>
      </c>
      <c r="C140" s="7" t="s">
        <v>142</v>
      </c>
      <c r="D140" s="21"/>
      <c r="E140" s="9" t="s">
        <v>979</v>
      </c>
      <c r="F140" s="10" t="s">
        <v>1313</v>
      </c>
      <c r="G140" s="10" t="s">
        <v>53</v>
      </c>
      <c r="H140" s="10" t="s">
        <v>54</v>
      </c>
      <c r="I140" s="19">
        <v>46048.0</v>
      </c>
      <c r="J140" s="60"/>
      <c r="K140" s="10" t="s">
        <v>529</v>
      </c>
      <c r="L140" s="17"/>
      <c r="M140" s="13" t="str">
        <f t="shared" si="1"/>
        <v>easy r</v>
      </c>
      <c r="N140" s="13" t="str">
        <f t="shared" si="2"/>
        <v/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6" t="s">
        <v>86</v>
      </c>
      <c r="C141" s="7" t="s">
        <v>14</v>
      </c>
      <c r="D141" s="8" t="s">
        <v>1327</v>
      </c>
      <c r="E141" s="9" t="s">
        <v>1328</v>
      </c>
      <c r="F141" s="10" t="s">
        <v>1329</v>
      </c>
      <c r="G141" s="10" t="s">
        <v>1330</v>
      </c>
      <c r="H141" s="10" t="s">
        <v>44</v>
      </c>
      <c r="I141" s="11">
        <v>46047.0</v>
      </c>
      <c r="J141" s="11">
        <v>46048.0</v>
      </c>
      <c r="K141" s="10" t="s">
        <v>20</v>
      </c>
      <c r="L141" s="17"/>
      <c r="M141" s="13" t="str">
        <f t="shared" si="1"/>
        <v>fissa </v>
      </c>
      <c r="N141" s="13" t="str">
        <f t="shared" si="2"/>
        <v>fissa 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6" t="s">
        <v>86</v>
      </c>
      <c r="C142" s="7" t="s">
        <v>954</v>
      </c>
      <c r="D142" s="14" t="s">
        <v>1331</v>
      </c>
      <c r="E142" s="9" t="s">
        <v>1332</v>
      </c>
      <c r="F142" s="10" t="s">
        <v>1333</v>
      </c>
      <c r="G142" s="10" t="s">
        <v>1334</v>
      </c>
      <c r="H142" s="10" t="s">
        <v>44</v>
      </c>
      <c r="I142" s="11">
        <v>46046.0</v>
      </c>
      <c r="J142" s="11">
        <v>46048.0</v>
      </c>
      <c r="K142" s="10" t="s">
        <v>20</v>
      </c>
      <c r="L142" s="17"/>
      <c r="M142" s="13" t="str">
        <f t="shared" si="1"/>
        <v>fissa </v>
      </c>
      <c r="N142" s="13" t="str">
        <f t="shared" si="2"/>
        <v>fissa 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6" t="s">
        <v>86</v>
      </c>
      <c r="C143" s="7" t="s">
        <v>954</v>
      </c>
      <c r="D143" s="8" t="s">
        <v>1335</v>
      </c>
      <c r="E143" s="9" t="s">
        <v>1332</v>
      </c>
      <c r="F143" s="10" t="s">
        <v>1333</v>
      </c>
      <c r="G143" s="10" t="s">
        <v>1336</v>
      </c>
      <c r="H143" s="10" t="s">
        <v>37</v>
      </c>
      <c r="I143" s="11">
        <v>46046.0</v>
      </c>
      <c r="J143" s="11">
        <v>46046.0</v>
      </c>
      <c r="K143" s="10" t="s">
        <v>20</v>
      </c>
      <c r="L143" s="17"/>
      <c r="M143" s="13" t="str">
        <f t="shared" si="1"/>
        <v>mobile</v>
      </c>
      <c r="N143" s="13" t="str">
        <f t="shared" si="2"/>
        <v>mobile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6" t="s">
        <v>86</v>
      </c>
      <c r="C144" s="7" t="s">
        <v>954</v>
      </c>
      <c r="D144" s="18"/>
      <c r="E144" s="9" t="s">
        <v>1332</v>
      </c>
      <c r="F144" s="10" t="s">
        <v>1333</v>
      </c>
      <c r="G144" s="10" t="s">
        <v>1337</v>
      </c>
      <c r="H144" s="10" t="s">
        <v>37</v>
      </c>
      <c r="I144" s="11">
        <v>46046.0</v>
      </c>
      <c r="J144" s="11">
        <v>46046.0</v>
      </c>
      <c r="K144" s="10" t="s">
        <v>20</v>
      </c>
      <c r="L144" s="17"/>
      <c r="M144" s="13" t="str">
        <f t="shared" si="1"/>
        <v>mobile</v>
      </c>
      <c r="N144" s="13" t="str">
        <f t="shared" si="2"/>
        <v>mobile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6" t="s">
        <v>195</v>
      </c>
      <c r="C145" s="30" t="s">
        <v>208</v>
      </c>
      <c r="D145" s="8" t="s">
        <v>1338</v>
      </c>
      <c r="E145" s="9" t="s">
        <v>987</v>
      </c>
      <c r="F145" s="10" t="s">
        <v>988</v>
      </c>
      <c r="G145" s="10" t="s">
        <v>1339</v>
      </c>
      <c r="H145" s="10" t="s">
        <v>44</v>
      </c>
      <c r="I145" s="11">
        <v>46047.0</v>
      </c>
      <c r="J145" s="11">
        <v>46048.0</v>
      </c>
      <c r="K145" s="10" t="s">
        <v>20</v>
      </c>
      <c r="L145" s="17"/>
      <c r="M145" s="13" t="str">
        <f t="shared" si="1"/>
        <v>fissa </v>
      </c>
      <c r="N145" s="13" t="str">
        <f t="shared" si="2"/>
        <v>fissa 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6" t="s">
        <v>207</v>
      </c>
      <c r="C146" s="30" t="s">
        <v>208</v>
      </c>
      <c r="D146" s="14" t="s">
        <v>1340</v>
      </c>
      <c r="E146" s="9" t="s">
        <v>1341</v>
      </c>
      <c r="F146" s="10" t="s">
        <v>1342</v>
      </c>
      <c r="G146" s="10" t="s">
        <v>1343</v>
      </c>
      <c r="H146" s="10" t="s">
        <v>25</v>
      </c>
      <c r="I146" s="11">
        <v>46046.0</v>
      </c>
      <c r="J146" s="11">
        <v>46048.0</v>
      </c>
      <c r="K146" s="10" t="s">
        <v>20</v>
      </c>
      <c r="L146" s="17"/>
      <c r="M146" s="13" t="str">
        <f t="shared" si="1"/>
        <v>mobile</v>
      </c>
      <c r="N146" s="13" t="str">
        <f t="shared" si="2"/>
        <v>mobile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6" t="s">
        <v>207</v>
      </c>
      <c r="C147" s="30" t="s">
        <v>208</v>
      </c>
      <c r="D147" s="21"/>
      <c r="E147" s="9" t="s">
        <v>1341</v>
      </c>
      <c r="F147" s="10" t="s">
        <v>1342</v>
      </c>
      <c r="G147" s="10" t="s">
        <v>1344</v>
      </c>
      <c r="H147" s="10" t="s">
        <v>44</v>
      </c>
      <c r="I147" s="19">
        <v>46046.0</v>
      </c>
      <c r="J147" s="11">
        <v>46048.0</v>
      </c>
      <c r="K147" s="10" t="s">
        <v>20</v>
      </c>
      <c r="L147" s="17"/>
      <c r="M147" s="13" t="str">
        <f t="shared" si="1"/>
        <v>fissa </v>
      </c>
      <c r="N147" s="13" t="str">
        <f t="shared" si="2"/>
        <v>fissa 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6" t="s">
        <v>38</v>
      </c>
      <c r="C148" s="30" t="s">
        <v>39</v>
      </c>
      <c r="D148" s="14" t="s">
        <v>1345</v>
      </c>
      <c r="E148" s="9" t="s">
        <v>1346</v>
      </c>
      <c r="F148" s="10" t="s">
        <v>1347</v>
      </c>
      <c r="G148" s="10" t="s">
        <v>1348</v>
      </c>
      <c r="H148" s="10" t="s">
        <v>37</v>
      </c>
      <c r="I148" s="11">
        <v>46047.0</v>
      </c>
      <c r="J148" s="11">
        <v>46047.0</v>
      </c>
      <c r="K148" s="10" t="s">
        <v>20</v>
      </c>
      <c r="L148" s="17"/>
      <c r="M148" s="13" t="str">
        <f t="shared" si="1"/>
        <v>mobile</v>
      </c>
      <c r="N148" s="13" t="str">
        <f t="shared" si="2"/>
        <v>mobile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6" t="s">
        <v>38</v>
      </c>
      <c r="C149" s="7" t="s">
        <v>39</v>
      </c>
      <c r="D149" s="21"/>
      <c r="E149" s="9" t="s">
        <v>1346</v>
      </c>
      <c r="F149" s="10" t="s">
        <v>1347</v>
      </c>
      <c r="G149" s="10" t="s">
        <v>1349</v>
      </c>
      <c r="H149" s="10" t="s">
        <v>37</v>
      </c>
      <c r="I149" s="11">
        <v>46047.0</v>
      </c>
      <c r="J149" s="11">
        <v>46047.0</v>
      </c>
      <c r="K149" s="10" t="s">
        <v>20</v>
      </c>
      <c r="L149" s="17"/>
      <c r="M149" s="13" t="str">
        <f t="shared" si="1"/>
        <v>mobile</v>
      </c>
      <c r="N149" s="13" t="str">
        <f t="shared" si="2"/>
        <v>mobile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6" t="s">
        <v>201</v>
      </c>
      <c r="C150" s="7" t="s">
        <v>76</v>
      </c>
      <c r="D150" s="14" t="s">
        <v>1350</v>
      </c>
      <c r="E150" s="9" t="s">
        <v>1351</v>
      </c>
      <c r="F150" s="10" t="s">
        <v>1352</v>
      </c>
      <c r="G150" s="10" t="s">
        <v>1353</v>
      </c>
      <c r="H150" s="10" t="s">
        <v>44</v>
      </c>
      <c r="I150" s="11">
        <v>46046.0</v>
      </c>
      <c r="J150" s="11">
        <v>46048.0</v>
      </c>
      <c r="K150" s="10" t="s">
        <v>20</v>
      </c>
      <c r="L150" s="17"/>
      <c r="M150" s="13" t="str">
        <f t="shared" si="1"/>
        <v>fissa </v>
      </c>
      <c r="N150" s="13" t="str">
        <f t="shared" si="2"/>
        <v>fissa 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0" t="s">
        <v>880</v>
      </c>
      <c r="C151" s="31" t="s">
        <v>881</v>
      </c>
      <c r="D151" s="8" t="s">
        <v>1354</v>
      </c>
      <c r="E151" s="9" t="s">
        <v>1355</v>
      </c>
      <c r="F151" s="10" t="s">
        <v>1356</v>
      </c>
      <c r="G151" s="10" t="s">
        <v>1357</v>
      </c>
      <c r="H151" s="10" t="s">
        <v>44</v>
      </c>
      <c r="I151" s="19">
        <v>46046.0</v>
      </c>
      <c r="J151" s="11">
        <v>46048.0</v>
      </c>
      <c r="K151" s="10" t="s">
        <v>20</v>
      </c>
      <c r="L151" s="17"/>
      <c r="M151" s="13" t="str">
        <f t="shared" si="1"/>
        <v>fissa </v>
      </c>
      <c r="N151" s="13" t="str">
        <f t="shared" si="2"/>
        <v>fissa 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0" t="s">
        <v>195</v>
      </c>
      <c r="C152" s="31" t="s">
        <v>208</v>
      </c>
      <c r="D152" s="14" t="s">
        <v>1358</v>
      </c>
      <c r="E152" s="9" t="s">
        <v>987</v>
      </c>
      <c r="F152" s="10" t="s">
        <v>988</v>
      </c>
      <c r="G152" s="10" t="s">
        <v>1359</v>
      </c>
      <c r="H152" s="10" t="s">
        <v>44</v>
      </c>
      <c r="I152" s="11">
        <v>46047.0</v>
      </c>
      <c r="J152" s="11">
        <v>46048.0</v>
      </c>
      <c r="K152" s="10" t="s">
        <v>20</v>
      </c>
      <c r="L152" s="17"/>
      <c r="M152" s="13" t="str">
        <f t="shared" si="1"/>
        <v>fissa </v>
      </c>
      <c r="N152" s="13" t="str">
        <f t="shared" si="2"/>
        <v>fissa 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2" t="s">
        <v>494</v>
      </c>
      <c r="C153" s="30" t="s">
        <v>1242</v>
      </c>
      <c r="D153" s="8" t="s">
        <v>1360</v>
      </c>
      <c r="E153" s="9" t="s">
        <v>1361</v>
      </c>
      <c r="F153" s="10" t="s">
        <v>1362</v>
      </c>
      <c r="G153" s="10" t="s">
        <v>1363</v>
      </c>
      <c r="H153" s="10" t="s">
        <v>44</v>
      </c>
      <c r="I153" s="11">
        <v>46048.0</v>
      </c>
      <c r="J153" s="11">
        <v>46049.0</v>
      </c>
      <c r="K153" s="12" t="s">
        <v>20</v>
      </c>
      <c r="L153" s="17"/>
      <c r="M153" s="13" t="str">
        <f t="shared" si="1"/>
        <v>fissa </v>
      </c>
      <c r="N153" s="13" t="str">
        <f t="shared" si="2"/>
        <v>fissa 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2" t="s">
        <v>494</v>
      </c>
      <c r="C154" s="30" t="s">
        <v>1242</v>
      </c>
      <c r="D154" s="8" t="s">
        <v>1364</v>
      </c>
      <c r="E154" s="9" t="s">
        <v>1361</v>
      </c>
      <c r="F154" s="10" t="s">
        <v>1362</v>
      </c>
      <c r="G154" s="10" t="s">
        <v>1365</v>
      </c>
      <c r="H154" s="10" t="s">
        <v>44</v>
      </c>
      <c r="I154" s="11">
        <v>46048.0</v>
      </c>
      <c r="J154" s="15">
        <v>46049.0</v>
      </c>
      <c r="K154" s="12" t="s">
        <v>20</v>
      </c>
      <c r="L154" s="17"/>
      <c r="M154" s="13" t="str">
        <f t="shared" si="1"/>
        <v>fissa </v>
      </c>
      <c r="N154" s="13" t="str">
        <f t="shared" si="2"/>
        <v>fissa 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2" t="s">
        <v>494</v>
      </c>
      <c r="C155" s="30" t="s">
        <v>1242</v>
      </c>
      <c r="D155" s="8" t="s">
        <v>1366</v>
      </c>
      <c r="E155" s="9" t="s">
        <v>1361</v>
      </c>
      <c r="F155" s="10" t="s">
        <v>1362</v>
      </c>
      <c r="G155" s="10" t="s">
        <v>1367</v>
      </c>
      <c r="H155" s="10" t="s">
        <v>44</v>
      </c>
      <c r="I155" s="11">
        <v>46048.0</v>
      </c>
      <c r="J155" s="11">
        <v>46049.0</v>
      </c>
      <c r="K155" s="12" t="s">
        <v>20</v>
      </c>
      <c r="L155" s="17"/>
      <c r="M155" s="13" t="str">
        <f t="shared" si="1"/>
        <v>fissa </v>
      </c>
      <c r="N155" s="13" t="str">
        <f t="shared" si="2"/>
        <v>fissa 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0" t="s">
        <v>26</v>
      </c>
      <c r="C156" s="31" t="s">
        <v>27</v>
      </c>
      <c r="D156" s="8" t="s">
        <v>1368</v>
      </c>
      <c r="E156" s="9" t="s">
        <v>1369</v>
      </c>
      <c r="F156" s="10" t="s">
        <v>1370</v>
      </c>
      <c r="G156" s="10" t="s">
        <v>1371</v>
      </c>
      <c r="H156" s="10" t="s">
        <v>44</v>
      </c>
      <c r="I156" s="11">
        <v>46048.0</v>
      </c>
      <c r="J156" s="11">
        <v>46050.0</v>
      </c>
      <c r="K156" s="10" t="s">
        <v>20</v>
      </c>
      <c r="L156" s="17"/>
      <c r="M156" s="13" t="str">
        <f t="shared" si="1"/>
        <v>fissa </v>
      </c>
      <c r="N156" s="13" t="str">
        <f t="shared" si="2"/>
        <v>fissa 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0" t="s">
        <v>38</v>
      </c>
      <c r="C157" s="31" t="s">
        <v>39</v>
      </c>
      <c r="D157" s="14" t="s">
        <v>1372</v>
      </c>
      <c r="E157" s="9" t="s">
        <v>1373</v>
      </c>
      <c r="F157" s="10" t="s">
        <v>1374</v>
      </c>
      <c r="G157" s="10" t="s">
        <v>1375</v>
      </c>
      <c r="H157" s="10" t="s">
        <v>44</v>
      </c>
      <c r="I157" s="11">
        <v>46048.0</v>
      </c>
      <c r="J157" s="11">
        <v>46052.0</v>
      </c>
      <c r="K157" s="12" t="s">
        <v>20</v>
      </c>
      <c r="L157" s="17"/>
      <c r="M157" s="13" t="str">
        <f t="shared" si="1"/>
        <v>fissa </v>
      </c>
      <c r="N157" s="13" t="str">
        <f t="shared" si="2"/>
        <v>fissa 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2" t="s">
        <v>38</v>
      </c>
      <c r="C158" s="30" t="s">
        <v>39</v>
      </c>
      <c r="D158" s="8" t="s">
        <v>1376</v>
      </c>
      <c r="E158" s="9" t="s">
        <v>950</v>
      </c>
      <c r="F158" s="10" t="s">
        <v>951</v>
      </c>
      <c r="G158" s="12" t="s">
        <v>1377</v>
      </c>
      <c r="H158" s="12" t="s">
        <v>44</v>
      </c>
      <c r="I158" s="11">
        <v>46050.0</v>
      </c>
      <c r="J158" s="32">
        <v>46051.0</v>
      </c>
      <c r="K158" s="12" t="s">
        <v>20</v>
      </c>
      <c r="L158" s="17"/>
      <c r="M158" s="13" t="str">
        <f t="shared" si="1"/>
        <v>fissa </v>
      </c>
      <c r="N158" s="13" t="str">
        <f t="shared" si="2"/>
        <v>fissa 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2" t="s">
        <v>38</v>
      </c>
      <c r="C159" s="30" t="s">
        <v>39</v>
      </c>
      <c r="D159" s="33"/>
      <c r="E159" s="9" t="s">
        <v>950</v>
      </c>
      <c r="F159" s="10" t="s">
        <v>951</v>
      </c>
      <c r="G159" s="12" t="s">
        <v>1378</v>
      </c>
      <c r="H159" s="12" t="s">
        <v>37</v>
      </c>
      <c r="I159" s="11">
        <v>46050.0</v>
      </c>
      <c r="J159" s="11">
        <v>46051.0</v>
      </c>
      <c r="K159" s="12" t="s">
        <v>20</v>
      </c>
      <c r="L159" s="17"/>
      <c r="M159" s="13" t="str">
        <f t="shared" si="1"/>
        <v>mobile</v>
      </c>
      <c r="N159" s="13" t="str">
        <f t="shared" si="2"/>
        <v>mobile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2" t="s">
        <v>86</v>
      </c>
      <c r="C160" s="30" t="s">
        <v>14</v>
      </c>
      <c r="D160" s="34" t="s">
        <v>1379</v>
      </c>
      <c r="E160" s="9" t="s">
        <v>1380</v>
      </c>
      <c r="F160" s="10" t="s">
        <v>1381</v>
      </c>
      <c r="G160" s="12" t="s">
        <v>1382</v>
      </c>
      <c r="H160" s="12" t="s">
        <v>537</v>
      </c>
      <c r="I160" s="11">
        <v>46048.0</v>
      </c>
      <c r="J160" s="11">
        <v>46048.0</v>
      </c>
      <c r="K160" s="12" t="s">
        <v>20</v>
      </c>
      <c r="L160" s="17"/>
      <c r="M160" s="13" t="str">
        <f t="shared" si="1"/>
        <v>fissa </v>
      </c>
      <c r="N160" s="13" t="str">
        <f t="shared" si="2"/>
        <v>fissa 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2" t="s">
        <v>26</v>
      </c>
      <c r="C161" s="30" t="s">
        <v>27</v>
      </c>
      <c r="D161" s="34" t="s">
        <v>1383</v>
      </c>
      <c r="E161" s="9" t="s">
        <v>976</v>
      </c>
      <c r="F161" s="10" t="s">
        <v>977</v>
      </c>
      <c r="G161" s="12" t="s">
        <v>328</v>
      </c>
      <c r="H161" s="12" t="s">
        <v>54</v>
      </c>
      <c r="I161" s="11">
        <v>46048.0</v>
      </c>
      <c r="J161" s="35"/>
      <c r="K161" s="12" t="s">
        <v>529</v>
      </c>
      <c r="L161" s="17"/>
      <c r="M161" s="13" t="str">
        <f t="shared" si="1"/>
        <v>easy r</v>
      </c>
      <c r="N161" s="13" t="str">
        <f t="shared" si="2"/>
        <v/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2" t="s">
        <v>45</v>
      </c>
      <c r="C162" s="30" t="s">
        <v>46</v>
      </c>
      <c r="D162" s="34" t="s">
        <v>1384</v>
      </c>
      <c r="E162" s="9" t="s">
        <v>1385</v>
      </c>
      <c r="F162" s="10" t="s">
        <v>1386</v>
      </c>
      <c r="G162" s="12" t="s">
        <v>1387</v>
      </c>
      <c r="H162" s="12" t="s">
        <v>44</v>
      </c>
      <c r="I162" s="11">
        <v>46049.0</v>
      </c>
      <c r="J162" s="15">
        <v>46050.0</v>
      </c>
      <c r="K162" s="12" t="s">
        <v>20</v>
      </c>
      <c r="L162" s="17"/>
      <c r="M162" s="13" t="str">
        <f t="shared" si="1"/>
        <v>fissa </v>
      </c>
      <c r="N162" s="13" t="str">
        <f t="shared" si="2"/>
        <v>fissa 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2" t="s">
        <v>201</v>
      </c>
      <c r="C163" s="30" t="s">
        <v>202</v>
      </c>
      <c r="D163" s="34" t="s">
        <v>1388</v>
      </c>
      <c r="E163" s="9" t="s">
        <v>1175</v>
      </c>
      <c r="F163" s="10" t="s">
        <v>1389</v>
      </c>
      <c r="G163" s="12" t="s">
        <v>1390</v>
      </c>
      <c r="H163" s="12" t="s">
        <v>25</v>
      </c>
      <c r="I163" s="11">
        <v>46049.0</v>
      </c>
      <c r="J163" s="15">
        <v>46049.0</v>
      </c>
      <c r="K163" s="12" t="s">
        <v>20</v>
      </c>
      <c r="L163" s="17"/>
      <c r="M163" s="13" t="str">
        <f t="shared" si="1"/>
        <v>mobile</v>
      </c>
      <c r="N163" s="13" t="str">
        <f t="shared" si="2"/>
        <v>mobile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2" t="s">
        <v>86</v>
      </c>
      <c r="C164" s="30" t="s">
        <v>954</v>
      </c>
      <c r="D164" s="14" t="s">
        <v>1391</v>
      </c>
      <c r="E164" s="9" t="s">
        <v>1392</v>
      </c>
      <c r="F164" s="10" t="s">
        <v>1393</v>
      </c>
      <c r="G164" s="12" t="s">
        <v>1394</v>
      </c>
      <c r="H164" s="12" t="s">
        <v>44</v>
      </c>
      <c r="I164" s="11">
        <v>46050.0</v>
      </c>
      <c r="J164" s="15">
        <v>46051.0</v>
      </c>
      <c r="K164" s="12" t="s">
        <v>20</v>
      </c>
      <c r="L164" s="17"/>
      <c r="M164" s="13" t="str">
        <f t="shared" si="1"/>
        <v>fissa </v>
      </c>
      <c r="N164" s="13" t="str">
        <f t="shared" si="2"/>
        <v>fissa 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2" t="s">
        <v>26</v>
      </c>
      <c r="C165" s="30" t="s">
        <v>27</v>
      </c>
      <c r="D165" s="14" t="s">
        <v>1395</v>
      </c>
      <c r="E165" s="9" t="s">
        <v>401</v>
      </c>
      <c r="F165" s="10" t="s">
        <v>402</v>
      </c>
      <c r="G165" s="12" t="s">
        <v>1396</v>
      </c>
      <c r="H165" s="12" t="s">
        <v>44</v>
      </c>
      <c r="I165" s="11">
        <v>46050.0</v>
      </c>
      <c r="J165" s="15">
        <v>46051.0</v>
      </c>
      <c r="K165" s="12" t="s">
        <v>20</v>
      </c>
      <c r="L165" s="17"/>
      <c r="M165" s="13" t="str">
        <f t="shared" si="1"/>
        <v>fissa </v>
      </c>
      <c r="N165" s="13" t="str">
        <f t="shared" si="2"/>
        <v>fissa 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2" t="s">
        <v>26</v>
      </c>
      <c r="C166" s="30" t="s">
        <v>27</v>
      </c>
      <c r="D166" s="34" t="s">
        <v>1397</v>
      </c>
      <c r="E166" s="9" t="s">
        <v>401</v>
      </c>
      <c r="F166" s="10" t="s">
        <v>402</v>
      </c>
      <c r="G166" s="12" t="s">
        <v>1398</v>
      </c>
      <c r="H166" s="12" t="s">
        <v>32</v>
      </c>
      <c r="I166" s="11">
        <v>46051.0</v>
      </c>
      <c r="J166" s="15">
        <v>46051.0</v>
      </c>
      <c r="K166" s="12" t="s">
        <v>20</v>
      </c>
      <c r="L166" s="17"/>
      <c r="M166" s="13" t="str">
        <f t="shared" si="1"/>
        <v>fissa </v>
      </c>
      <c r="N166" s="13" t="str">
        <f t="shared" si="2"/>
        <v>fissa 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2" t="s">
        <v>494</v>
      </c>
      <c r="C167" s="30" t="s">
        <v>46</v>
      </c>
      <c r="D167" s="14" t="s">
        <v>1399</v>
      </c>
      <c r="E167" s="9" t="s">
        <v>1400</v>
      </c>
      <c r="F167" s="10" t="s">
        <v>1401</v>
      </c>
      <c r="G167" s="12" t="s">
        <v>1402</v>
      </c>
      <c r="H167" s="12" t="s">
        <v>44</v>
      </c>
      <c r="I167" s="11">
        <v>46051.0</v>
      </c>
      <c r="J167" s="15">
        <v>46053.0</v>
      </c>
      <c r="K167" s="12" t="s">
        <v>20</v>
      </c>
      <c r="L167" s="17"/>
      <c r="M167" s="13" t="str">
        <f t="shared" si="1"/>
        <v>fissa </v>
      </c>
      <c r="N167" s="13" t="str">
        <f t="shared" si="2"/>
        <v>fissa 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2" t="s">
        <v>494</v>
      </c>
      <c r="C168" s="30" t="s">
        <v>46</v>
      </c>
      <c r="D168" s="34" t="s">
        <v>1403</v>
      </c>
      <c r="E168" s="9" t="s">
        <v>1400</v>
      </c>
      <c r="F168" s="10" t="s">
        <v>1401</v>
      </c>
      <c r="G168" s="12" t="s">
        <v>1404</v>
      </c>
      <c r="H168" s="12" t="s">
        <v>44</v>
      </c>
      <c r="I168" s="11">
        <v>46051.0</v>
      </c>
      <c r="J168" s="15">
        <v>46053.0</v>
      </c>
      <c r="K168" s="12" t="s">
        <v>20</v>
      </c>
      <c r="L168" s="17"/>
      <c r="M168" s="13" t="str">
        <f t="shared" si="1"/>
        <v>fissa </v>
      </c>
      <c r="N168" s="13" t="str">
        <f t="shared" si="2"/>
        <v>fissa 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2" t="s">
        <v>201</v>
      </c>
      <c r="C169" s="30" t="s">
        <v>87</v>
      </c>
      <c r="D169" s="34" t="s">
        <v>1405</v>
      </c>
      <c r="E169" s="9" t="s">
        <v>1406</v>
      </c>
      <c r="F169" s="10" t="s">
        <v>1407</v>
      </c>
      <c r="G169" s="12" t="s">
        <v>1408</v>
      </c>
      <c r="H169" s="12" t="s">
        <v>44</v>
      </c>
      <c r="I169" s="45">
        <v>46051.0</v>
      </c>
      <c r="J169" s="15">
        <v>46052.0</v>
      </c>
      <c r="K169" s="12" t="s">
        <v>20</v>
      </c>
      <c r="L169" s="17"/>
      <c r="M169" s="13" t="str">
        <f t="shared" si="1"/>
        <v>fissa </v>
      </c>
      <c r="N169" s="13" t="str">
        <f t="shared" si="2"/>
        <v>fissa 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2" t="s">
        <v>494</v>
      </c>
      <c r="C170" s="30" t="s">
        <v>46</v>
      </c>
      <c r="D170" s="14" t="s">
        <v>1409</v>
      </c>
      <c r="E170" s="9" t="s">
        <v>1410</v>
      </c>
      <c r="F170" s="10" t="s">
        <v>1411</v>
      </c>
      <c r="G170" s="12" t="s">
        <v>1412</v>
      </c>
      <c r="H170" s="12" t="s">
        <v>44</v>
      </c>
      <c r="I170" s="11">
        <v>46052.0</v>
      </c>
      <c r="J170" s="15">
        <v>46053.0</v>
      </c>
      <c r="K170" s="12" t="s">
        <v>20</v>
      </c>
      <c r="L170" s="17"/>
      <c r="M170" s="13" t="str">
        <f t="shared" si="1"/>
        <v>fissa </v>
      </c>
      <c r="N170" s="13" t="str">
        <f t="shared" si="2"/>
        <v>fissa 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2" t="s">
        <v>75</v>
      </c>
      <c r="C171" s="30" t="s">
        <v>76</v>
      </c>
      <c r="D171" s="14" t="s">
        <v>1413</v>
      </c>
      <c r="E171" s="9" t="s">
        <v>1414</v>
      </c>
      <c r="F171" s="10" t="s">
        <v>1415</v>
      </c>
      <c r="G171" s="12" t="s">
        <v>1416</v>
      </c>
      <c r="H171" s="12" t="s">
        <v>66</v>
      </c>
      <c r="I171" s="11">
        <v>46052.0</v>
      </c>
      <c r="J171" s="15">
        <v>46052.0</v>
      </c>
      <c r="K171" s="12" t="s">
        <v>20</v>
      </c>
      <c r="L171" s="17"/>
      <c r="M171" s="13" t="str">
        <f t="shared" si="1"/>
        <v>mobile</v>
      </c>
      <c r="N171" s="13" t="str">
        <f t="shared" si="2"/>
        <v>mobile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2" t="s">
        <v>75</v>
      </c>
      <c r="C172" s="30" t="s">
        <v>76</v>
      </c>
      <c r="D172" s="18"/>
      <c r="E172" s="9" t="s">
        <v>1414</v>
      </c>
      <c r="F172" s="10" t="s">
        <v>1415</v>
      </c>
      <c r="G172" s="12" t="s">
        <v>1417</v>
      </c>
      <c r="H172" s="12" t="s">
        <v>68</v>
      </c>
      <c r="I172" s="11">
        <v>46052.0</v>
      </c>
      <c r="J172" s="15">
        <v>46052.0</v>
      </c>
      <c r="K172" s="12" t="s">
        <v>20</v>
      </c>
      <c r="L172" s="17"/>
      <c r="M172" s="13" t="str">
        <f t="shared" si="1"/>
        <v>fissa </v>
      </c>
      <c r="N172" s="13" t="str">
        <f t="shared" si="2"/>
        <v>fissa 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2" t="s">
        <v>75</v>
      </c>
      <c r="C173" s="30" t="s">
        <v>76</v>
      </c>
      <c r="D173" s="14" t="s">
        <v>1418</v>
      </c>
      <c r="E173" s="9" t="s">
        <v>1419</v>
      </c>
      <c r="F173" s="10" t="s">
        <v>1420</v>
      </c>
      <c r="G173" s="12" t="s">
        <v>1421</v>
      </c>
      <c r="H173" s="12" t="s">
        <v>44</v>
      </c>
      <c r="I173" s="11">
        <v>46052.0</v>
      </c>
      <c r="J173" s="15">
        <v>46052.0</v>
      </c>
      <c r="K173" s="12" t="s">
        <v>20</v>
      </c>
      <c r="L173" s="17"/>
      <c r="M173" s="13" t="str">
        <f t="shared" si="1"/>
        <v>fissa </v>
      </c>
      <c r="N173" s="13" t="str">
        <f t="shared" si="2"/>
        <v>fissa 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2" t="s">
        <v>75</v>
      </c>
      <c r="C174" s="30" t="s">
        <v>76</v>
      </c>
      <c r="D174" s="14" t="s">
        <v>1422</v>
      </c>
      <c r="E174" s="9" t="s">
        <v>1419</v>
      </c>
      <c r="F174" s="10" t="s">
        <v>1420</v>
      </c>
      <c r="G174" s="12" t="s">
        <v>1423</v>
      </c>
      <c r="H174" s="12" t="s">
        <v>44</v>
      </c>
      <c r="I174" s="11">
        <v>46052.0</v>
      </c>
      <c r="J174" s="15">
        <v>46053.0</v>
      </c>
      <c r="K174" s="12" t="s">
        <v>20</v>
      </c>
      <c r="L174" s="17"/>
      <c r="M174" s="13" t="str">
        <f t="shared" si="1"/>
        <v>fissa </v>
      </c>
      <c r="N174" s="13" t="str">
        <f t="shared" si="2"/>
        <v>fissa 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2" t="s">
        <v>880</v>
      </c>
      <c r="C175" s="30" t="s">
        <v>881</v>
      </c>
      <c r="D175" s="14" t="s">
        <v>1424</v>
      </c>
      <c r="E175" s="9" t="s">
        <v>1425</v>
      </c>
      <c r="F175" s="10" t="s">
        <v>1356</v>
      </c>
      <c r="G175" s="12" t="s">
        <v>1426</v>
      </c>
      <c r="H175" s="12" t="s">
        <v>537</v>
      </c>
      <c r="I175" s="11">
        <v>46052.0</v>
      </c>
      <c r="J175" s="15">
        <v>46052.0</v>
      </c>
      <c r="K175" s="12" t="s">
        <v>20</v>
      </c>
      <c r="L175" s="17"/>
      <c r="M175" s="13" t="str">
        <f t="shared" si="1"/>
        <v>fissa </v>
      </c>
      <c r="N175" s="13" t="str">
        <f t="shared" si="2"/>
        <v>fissa 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7"/>
      <c r="C176" s="61"/>
      <c r="D176" s="18"/>
      <c r="E176" s="62"/>
      <c r="F176" s="58"/>
      <c r="G176" s="17"/>
      <c r="H176" s="17"/>
      <c r="I176" s="60"/>
      <c r="J176" s="35"/>
      <c r="K176" s="17"/>
      <c r="L176" s="17"/>
      <c r="M176" s="13" t="str">
        <f t="shared" si="1"/>
        <v/>
      </c>
      <c r="N176" s="13" t="str">
        <f t="shared" si="2"/>
        <v/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7"/>
      <c r="C177" s="61"/>
      <c r="D177" s="18"/>
      <c r="E177" s="62"/>
      <c r="F177" s="58"/>
      <c r="G177" s="17"/>
      <c r="H177" s="17"/>
      <c r="I177" s="60"/>
      <c r="J177" s="35"/>
      <c r="K177" s="17"/>
      <c r="L177" s="17"/>
      <c r="M177" s="13" t="str">
        <f t="shared" si="1"/>
        <v/>
      </c>
      <c r="N177" s="13" t="str">
        <f t="shared" si="2"/>
        <v/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7"/>
      <c r="C178" s="61"/>
      <c r="D178" s="18"/>
      <c r="E178" s="62"/>
      <c r="F178" s="58"/>
      <c r="G178" s="17"/>
      <c r="H178" s="17"/>
      <c r="I178" s="60"/>
      <c r="J178" s="35"/>
      <c r="K178" s="17"/>
      <c r="L178" s="17"/>
      <c r="M178" s="13" t="str">
        <f t="shared" si="1"/>
        <v/>
      </c>
      <c r="N178" s="13" t="str">
        <f t="shared" si="2"/>
        <v/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7"/>
      <c r="C179" s="61"/>
      <c r="D179" s="18"/>
      <c r="E179" s="62"/>
      <c r="F179" s="58"/>
      <c r="G179" s="17"/>
      <c r="H179" s="17"/>
      <c r="I179" s="60"/>
      <c r="J179" s="35"/>
      <c r="K179" s="17"/>
      <c r="L179" s="17"/>
      <c r="M179" s="13" t="str">
        <f t="shared" si="1"/>
        <v/>
      </c>
      <c r="N179" s="13" t="str">
        <f t="shared" si="2"/>
        <v/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7"/>
      <c r="C180" s="61"/>
      <c r="D180" s="18"/>
      <c r="E180" s="62"/>
      <c r="F180" s="58"/>
      <c r="G180" s="17"/>
      <c r="H180" s="17"/>
      <c r="I180" s="60"/>
      <c r="J180" s="35"/>
      <c r="K180" s="17"/>
      <c r="L180" s="17"/>
      <c r="M180" s="13" t="str">
        <f t="shared" si="1"/>
        <v/>
      </c>
      <c r="N180" s="13" t="str">
        <f t="shared" si="2"/>
        <v/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7"/>
      <c r="C181" s="61"/>
      <c r="D181" s="18"/>
      <c r="E181" s="62"/>
      <c r="F181" s="58"/>
      <c r="G181" s="17"/>
      <c r="H181" s="17"/>
      <c r="I181" s="60"/>
      <c r="J181" s="35"/>
      <c r="K181" s="17"/>
      <c r="L181" s="17"/>
      <c r="M181" s="13" t="str">
        <f t="shared" si="1"/>
        <v/>
      </c>
      <c r="N181" s="13" t="str">
        <f t="shared" si="2"/>
        <v/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7"/>
      <c r="C182" s="61"/>
      <c r="D182" s="18"/>
      <c r="E182" s="62"/>
      <c r="F182" s="58"/>
      <c r="G182" s="17"/>
      <c r="H182" s="17"/>
      <c r="I182" s="60"/>
      <c r="J182" s="35"/>
      <c r="K182" s="17"/>
      <c r="L182" s="17"/>
      <c r="M182" s="13" t="str">
        <f t="shared" si="1"/>
        <v/>
      </c>
      <c r="N182" s="13" t="str">
        <f t="shared" si="2"/>
        <v/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7"/>
      <c r="C183" s="61"/>
      <c r="D183" s="18"/>
      <c r="E183" s="62"/>
      <c r="F183" s="58"/>
      <c r="G183" s="17"/>
      <c r="H183" s="17"/>
      <c r="I183" s="60"/>
      <c r="J183" s="35"/>
      <c r="K183" s="17"/>
      <c r="L183" s="17"/>
      <c r="M183" s="13" t="str">
        <f t="shared" si="1"/>
        <v/>
      </c>
      <c r="N183" s="13" t="str">
        <f t="shared" si="2"/>
        <v/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7"/>
      <c r="C184" s="61"/>
      <c r="D184" s="18"/>
      <c r="E184" s="62"/>
      <c r="F184" s="58"/>
      <c r="G184" s="17"/>
      <c r="H184" s="17"/>
      <c r="I184" s="60"/>
      <c r="J184" s="35"/>
      <c r="K184" s="17"/>
      <c r="L184" s="17"/>
      <c r="M184" s="13" t="str">
        <f t="shared" si="1"/>
        <v/>
      </c>
      <c r="N184" s="13" t="str">
        <f t="shared" si="2"/>
        <v/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7"/>
      <c r="C185" s="61"/>
      <c r="D185" s="18"/>
      <c r="E185" s="62"/>
      <c r="F185" s="58"/>
      <c r="G185" s="17"/>
      <c r="H185" s="17"/>
      <c r="I185" s="60"/>
      <c r="J185" s="35"/>
      <c r="K185" s="17"/>
      <c r="L185" s="17"/>
      <c r="M185" s="13" t="str">
        <f t="shared" si="1"/>
        <v/>
      </c>
      <c r="N185" s="13" t="str">
        <f t="shared" si="2"/>
        <v/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7"/>
      <c r="C186" s="61"/>
      <c r="D186" s="18"/>
      <c r="E186" s="62"/>
      <c r="F186" s="58"/>
      <c r="G186" s="17"/>
      <c r="H186" s="17"/>
      <c r="I186" s="60"/>
      <c r="J186" s="35"/>
      <c r="K186" s="17"/>
      <c r="L186" s="17"/>
      <c r="M186" s="13" t="str">
        <f t="shared" si="1"/>
        <v/>
      </c>
      <c r="N186" s="13" t="str">
        <f t="shared" si="2"/>
        <v/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7"/>
      <c r="C187" s="61"/>
      <c r="D187" s="18"/>
      <c r="E187" s="62"/>
      <c r="F187" s="58"/>
      <c r="G187" s="17"/>
      <c r="H187" s="17"/>
      <c r="I187" s="60"/>
      <c r="J187" s="35"/>
      <c r="K187" s="17"/>
      <c r="L187" s="17"/>
      <c r="M187" s="13" t="str">
        <f t="shared" si="1"/>
        <v/>
      </c>
      <c r="N187" s="13" t="str">
        <f t="shared" si="2"/>
        <v/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7"/>
      <c r="C188" s="61"/>
      <c r="D188" s="18"/>
      <c r="E188" s="62"/>
      <c r="F188" s="58"/>
      <c r="G188" s="17"/>
      <c r="H188" s="17"/>
      <c r="I188" s="60"/>
      <c r="J188" s="35"/>
      <c r="K188" s="17"/>
      <c r="L188" s="17"/>
      <c r="M188" s="13" t="str">
        <f t="shared" si="1"/>
        <v/>
      </c>
      <c r="N188" s="13" t="str">
        <f t="shared" si="2"/>
        <v/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7"/>
      <c r="C189" s="61"/>
      <c r="D189" s="18"/>
      <c r="E189" s="62"/>
      <c r="F189" s="58"/>
      <c r="G189" s="17"/>
      <c r="H189" s="17"/>
      <c r="I189" s="60"/>
      <c r="J189" s="35"/>
      <c r="K189" s="17"/>
      <c r="L189" s="17"/>
      <c r="M189" s="13" t="str">
        <f t="shared" si="1"/>
        <v/>
      </c>
      <c r="N189" s="13" t="str">
        <f t="shared" si="2"/>
        <v/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7"/>
      <c r="C190" s="61"/>
      <c r="D190" s="18"/>
      <c r="E190" s="62"/>
      <c r="F190" s="58"/>
      <c r="G190" s="17"/>
      <c r="H190" s="17"/>
      <c r="I190" s="60"/>
      <c r="J190" s="35"/>
      <c r="K190" s="17"/>
      <c r="L190" s="17"/>
      <c r="M190" s="13" t="str">
        <f t="shared" si="1"/>
        <v/>
      </c>
      <c r="N190" s="13" t="str">
        <f t="shared" si="2"/>
        <v/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7"/>
      <c r="C191" s="61"/>
      <c r="D191" s="18"/>
      <c r="E191" s="62"/>
      <c r="F191" s="58"/>
      <c r="G191" s="17"/>
      <c r="H191" s="17"/>
      <c r="I191" s="60"/>
      <c r="J191" s="35"/>
      <c r="K191" s="17"/>
      <c r="L191" s="17"/>
      <c r="M191" s="13" t="str">
        <f t="shared" si="1"/>
        <v/>
      </c>
      <c r="N191" s="13" t="str">
        <f t="shared" si="2"/>
        <v/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7"/>
      <c r="C192" s="61"/>
      <c r="D192" s="18"/>
      <c r="E192" s="62"/>
      <c r="F192" s="58"/>
      <c r="G192" s="17"/>
      <c r="H192" s="17"/>
      <c r="I192" s="60"/>
      <c r="J192" s="35"/>
      <c r="K192" s="17"/>
      <c r="L192" s="17"/>
      <c r="M192" s="13" t="str">
        <f t="shared" si="1"/>
        <v/>
      </c>
      <c r="N192" s="13" t="str">
        <f t="shared" si="2"/>
        <v/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7"/>
      <c r="C193" s="61"/>
      <c r="D193" s="18"/>
      <c r="E193" s="62"/>
      <c r="F193" s="58"/>
      <c r="G193" s="17"/>
      <c r="H193" s="17"/>
      <c r="I193" s="60"/>
      <c r="J193" s="35"/>
      <c r="K193" s="17"/>
      <c r="L193" s="17"/>
      <c r="M193" s="13" t="str">
        <f t="shared" si="1"/>
        <v/>
      </c>
      <c r="N193" s="13" t="str">
        <f t="shared" si="2"/>
        <v/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7"/>
      <c r="C194" s="61"/>
      <c r="D194" s="18"/>
      <c r="E194" s="62"/>
      <c r="F194" s="58"/>
      <c r="G194" s="17"/>
      <c r="H194" s="17"/>
      <c r="I194" s="60"/>
      <c r="J194" s="35"/>
      <c r="K194" s="17"/>
      <c r="L194" s="17"/>
      <c r="M194" s="13" t="str">
        <f t="shared" si="1"/>
        <v/>
      </c>
      <c r="N194" s="13" t="str">
        <f t="shared" si="2"/>
        <v/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7"/>
      <c r="C195" s="61"/>
      <c r="D195" s="18"/>
      <c r="E195" s="62"/>
      <c r="F195" s="58"/>
      <c r="G195" s="17"/>
      <c r="H195" s="17"/>
      <c r="I195" s="60"/>
      <c r="J195" s="35"/>
      <c r="K195" s="17"/>
      <c r="L195" s="17"/>
      <c r="M195" s="13" t="str">
        <f t="shared" si="1"/>
        <v/>
      </c>
      <c r="N195" s="13" t="str">
        <f t="shared" si="2"/>
        <v/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7"/>
      <c r="C196" s="61"/>
      <c r="D196" s="18"/>
      <c r="E196" s="62"/>
      <c r="F196" s="58"/>
      <c r="G196" s="17"/>
      <c r="H196" s="17"/>
      <c r="I196" s="60"/>
      <c r="J196" s="35"/>
      <c r="K196" s="17"/>
      <c r="L196" s="17"/>
      <c r="M196" s="13" t="str">
        <f t="shared" si="1"/>
        <v/>
      </c>
      <c r="N196" s="13" t="str">
        <f t="shared" si="2"/>
        <v/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7"/>
      <c r="C197" s="61"/>
      <c r="D197" s="18"/>
      <c r="E197" s="62"/>
      <c r="F197" s="58"/>
      <c r="G197" s="17"/>
      <c r="H197" s="17"/>
      <c r="I197" s="60"/>
      <c r="J197" s="35"/>
      <c r="K197" s="17"/>
      <c r="L197" s="17"/>
      <c r="M197" s="13" t="str">
        <f t="shared" si="1"/>
        <v/>
      </c>
      <c r="N197" s="13" t="str">
        <f t="shared" si="2"/>
        <v/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7"/>
      <c r="C198" s="61"/>
      <c r="D198" s="18"/>
      <c r="E198" s="62"/>
      <c r="F198" s="58"/>
      <c r="G198" s="17"/>
      <c r="H198" s="17"/>
      <c r="I198" s="60"/>
      <c r="J198" s="35"/>
      <c r="K198" s="17"/>
      <c r="L198" s="17"/>
      <c r="M198" s="13" t="str">
        <f t="shared" si="1"/>
        <v/>
      </c>
      <c r="N198" s="13" t="str">
        <f t="shared" si="2"/>
        <v/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7"/>
      <c r="C199" s="61"/>
      <c r="D199" s="18"/>
      <c r="E199" s="62"/>
      <c r="F199" s="58"/>
      <c r="G199" s="17"/>
      <c r="H199" s="17"/>
      <c r="I199" s="60"/>
      <c r="J199" s="35"/>
      <c r="K199" s="17"/>
      <c r="L199" s="17"/>
      <c r="M199" s="13" t="str">
        <f t="shared" si="1"/>
        <v/>
      </c>
      <c r="N199" s="13" t="str">
        <f t="shared" si="2"/>
        <v/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7"/>
      <c r="C200" s="61"/>
      <c r="D200" s="18"/>
      <c r="E200" s="62"/>
      <c r="F200" s="58"/>
      <c r="G200" s="17"/>
      <c r="H200" s="17"/>
      <c r="I200" s="60"/>
      <c r="J200" s="35"/>
      <c r="K200" s="17"/>
      <c r="L200" s="17"/>
      <c r="M200" s="13" t="str">
        <f t="shared" si="1"/>
        <v/>
      </c>
      <c r="N200" s="13" t="str">
        <f t="shared" si="2"/>
        <v/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dataValidations>
    <dataValidation type="list" allowBlank="1" showErrorMessage="1" sqref="B3:B200">
      <formula1>"comet pontedera,euronics corciano,euronics gavinana,euronics grosseto,euronics montecatini,euronics parco prato,mw agliana,mw collestrada,mw empoli,mw figline ,mw gigli,mw pisa,mw roma est,mw roma (porta di),mw roma primavera,all around"</formula1>
    </dataValidation>
    <dataValidation type="list" allowBlank="1" showErrorMessage="1" sqref="C3:C200">
      <formula1>"Adelina Meta,All Around,Anastasya Radecha,Emerson Espiritu,Emiliano Romei,Fabian Sulmina,Francesco Belmonte,Giovanni Giglio,Gloria La Giusa,Mariami Iashvili,Samir Uddin,Samuele Guido,Serenella Nacci,Simona Cucu,Simone Marra,Matteo Stefanelli,Nicole Gamboa"&amp;",Manuel Giuliani,Aissam El Moujaid,Silvia Saglimbeni,David John Gallo,Feris Rahmouni,Barbara Mattiacci"</formula1>
    </dataValidation>
    <dataValidation type="list" allowBlank="1" showErrorMessage="1" sqref="L3:L200">
      <formula1>"easy rent,passato da vf store,inserito mese precedente,subentro da abb consumer,annullato,soluzione digitale"</formula1>
    </dataValidation>
    <dataValidation type="list" allowBlank="1" showErrorMessage="1" sqref="K3:K200">
      <formula1>"sì,no"</formula1>
    </dataValidation>
    <dataValidation type="list" allowBlank="1" showErrorMessage="1" sqref="H3:H200">
      <formula1>"mobile comfort ,mobile smart,mobile ob,mobile red xs,fissa comfort,fissa smart,fissa ob,fissa total wireless,fissa fwa5g,fissa one net premium,easy rent"</formula1>
    </dataValidation>
    <dataValidation type="date" allowBlank="1" showDropDown="1" sqref="I3:I200">
      <formula1>46023.0</formula1>
      <formula2>46053.0</formula2>
    </dataValidation>
    <dataValidation type="date" allowBlank="1" showDropDown="1" showErrorMessage="1" sqref="J3:J200">
      <formula1>46023.0</formula1>
      <formula2>46053.0</formula2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6.5"/>
    <col customWidth="1" min="4" max="4" width="17.13"/>
    <col customWidth="1" min="5" max="5" width="15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8">
        <v>46023.0</v>
      </c>
      <c r="C2" s="39"/>
      <c r="D2" s="40"/>
      <c r="E2" s="2"/>
      <c r="F2" s="41" t="s">
        <v>292</v>
      </c>
      <c r="G2" s="3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2" t="s">
        <v>293</v>
      </c>
      <c r="C3" s="43">
        <v>30.0</v>
      </c>
      <c r="D3" s="40"/>
      <c r="E3" s="2"/>
      <c r="F3" s="42" t="s">
        <v>294</v>
      </c>
      <c r="G3" s="44">
        <f>D8*C3/C4</f>
        <v>66.66666667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2" t="s">
        <v>295</v>
      </c>
      <c r="C4" s="43">
        <v>27.0</v>
      </c>
      <c r="D4" s="40"/>
      <c r="E4" s="2"/>
      <c r="F4" s="42" t="s">
        <v>296</v>
      </c>
      <c r="G4" s="44">
        <f>D9*C3/C4</f>
        <v>110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4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4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4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4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4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4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40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40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40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4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4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4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4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4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4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4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4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4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4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4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4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4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4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4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4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4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4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4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4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4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4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4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4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4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4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4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4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4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4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4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4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4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4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4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4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4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4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4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4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4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4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4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4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4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4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4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4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4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4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4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4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4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4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4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4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4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4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4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4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4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4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4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4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4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4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4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</sheetData>
  <mergeCells count="2">
    <mergeCell ref="B2:C2"/>
    <mergeCell ref="F2:G2"/>
  </mergeCells>
  <drawing r:id="rId3"/>
</worksheet>
</file>